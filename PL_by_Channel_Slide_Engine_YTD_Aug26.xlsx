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ide Calc" sheetId="1" state="visible" r:id="rId3"/>
    <sheet name="Data" sheetId="2" state="visible" r:id="rId4"/>
    <sheet name="EBIT Bridge vs RE" sheetId="3" state="visible" r:id="rId5"/>
    <sheet name="Bridge rows (source)" sheetId="4" state="visible" r:id="rId6"/>
  </sheets>
  <definedNames>
    <definedName function="false" hidden="true" localSheetId="1" name="_xlnm._FilterDatabase" vbProcedure="false">Data!$A$4:$E$172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<sst xmlns="http://schemas.openxmlformats.org/spreadsheetml/2006/main" count="857" uniqueCount="129">
  <si>
    <t xml:space="preserve">P&amp;L By Channel — slide calculator</t>
  </si>
  <si>
    <t xml:space="preserve">Pick Period and Channel (yellow). Every figure on the slide is calculated below with SUMIFS on the Data sheet.</t>
  </si>
  <si>
    <t xml:space="preserve">Period</t>
  </si>
  <si>
    <t xml:space="preserve">YTD Aug 26</t>
  </si>
  <si>
    <t xml:space="preserve">Channel</t>
  </si>
  <si>
    <t xml:space="preserve">OOH</t>
  </si>
  <si>
    <t xml:space="preserve">1. P&amp;L lines</t>
  </si>
  <si>
    <t xml:space="preserve">Line</t>
  </si>
  <si>
    <t xml:space="preserve">ACT</t>
  </si>
  <si>
    <t xml:space="preserve">RE</t>
  </si>
  <si>
    <t xml:space="preserve">BP</t>
  </si>
  <si>
    <t xml:space="preserve">PY</t>
  </si>
  <si>
    <t xml:space="preserve">Type</t>
  </si>
  <si>
    <t xml:space="preserve">Volume</t>
  </si>
  <si>
    <t xml:space="preserve">rev</t>
  </si>
  <si>
    <t xml:space="preserve">GSR</t>
  </si>
  <si>
    <t xml:space="preserve">Discounts</t>
  </si>
  <si>
    <t xml:space="preserve">cost</t>
  </si>
  <si>
    <t xml:space="preserve">NSR</t>
  </si>
  <si>
    <t xml:space="preserve">COGS</t>
  </si>
  <si>
    <t xml:space="preserve">GP</t>
  </si>
  <si>
    <t xml:space="preserve">DME</t>
  </si>
  <si>
    <t xml:space="preserve">Sales Opex</t>
  </si>
  <si>
    <t xml:space="preserve">Mktg Opex</t>
  </si>
  <si>
    <t xml:space="preserve">Distribution and Delivery</t>
  </si>
  <si>
    <t xml:space="preserve">Warehouse</t>
  </si>
  <si>
    <t xml:space="preserve">Administration</t>
  </si>
  <si>
    <t xml:space="preserve">Opex</t>
  </si>
  <si>
    <t xml:space="preserve">Underlying EBIT</t>
  </si>
  <si>
    <t xml:space="preserve">W&amp;D</t>
  </si>
  <si>
    <t xml:space="preserve">Net Contribution</t>
  </si>
  <si>
    <t xml:space="preserve">Opex excl. W&amp;D</t>
  </si>
  <si>
    <t xml:space="preserve">Other / SoI (plug)</t>
  </si>
  <si>
    <t xml:space="preserve">Margins on NSR</t>
  </si>
  <si>
    <t xml:space="preserve">GP %</t>
  </si>
  <si>
    <t xml:space="preserve">NC %</t>
  </si>
  <si>
    <t xml:space="preserve">EBIT %</t>
  </si>
  <si>
    <t xml:space="preserve">Discount rate (on GSR)</t>
  </si>
  <si>
    <t xml:space="preserve">2. Variances (+ = favourable to EBIT)</t>
  </si>
  <si>
    <t xml:space="preserve">vs RE</t>
  </si>
  <si>
    <t xml:space="preserve">vs BP</t>
  </si>
  <si>
    <t xml:space="preserve">vs PY</t>
  </si>
  <si>
    <t xml:space="preserve">3. Per case</t>
  </si>
  <si>
    <t xml:space="preserve">Metric</t>
  </si>
  <si>
    <t xml:space="preserve">Δ vs RE</t>
  </si>
  <si>
    <t xml:space="preserve">Δ vs BP</t>
  </si>
  <si>
    <t xml:space="preserve">Δ vs PY</t>
  </si>
  <si>
    <t xml:space="preserve">Good if</t>
  </si>
  <si>
    <t xml:space="preserve">NSR / UC</t>
  </si>
  <si>
    <t xml:space="preserve">up</t>
  </si>
  <si>
    <t xml:space="preserve">COGS / UC</t>
  </si>
  <si>
    <t xml:space="preserve">down</t>
  </si>
  <si>
    <t xml:space="preserve">GP / UC</t>
  </si>
  <si>
    <t xml:space="preserve">W&amp;D / UC</t>
  </si>
  <si>
    <t xml:space="preserve">NC / UC</t>
  </si>
  <si>
    <t xml:space="preserve">Discount rate</t>
  </si>
  <si>
    <t xml:space="preserve">4. NSR split — volume effect vs price &amp; mix</t>
  </si>
  <si>
    <t xml:space="preserve">Component</t>
  </si>
  <si>
    <t xml:space="preserve">Volume effect (ΔVol × comparator NSR/UC)</t>
  </si>
  <si>
    <t xml:space="preserve">Price &amp; mix (residual)</t>
  </si>
  <si>
    <t xml:space="preserve">Total NSR change</t>
  </si>
  <si>
    <t xml:space="preserve">5. Cascade feed (ACT) — drives the chart</t>
  </si>
  <si>
    <t xml:space="preserve">Step</t>
  </si>
  <si>
    <t xml:space="preserve">Value</t>
  </si>
  <si>
    <t xml:space="preserve">Running</t>
  </si>
  <si>
    <t xml:space="preserve">Base</t>
  </si>
  <si>
    <t xml:space="preserve">Total bar</t>
  </si>
  <si>
    <t xml:space="preserve">Cost bar</t>
  </si>
  <si>
    <t xml:space="preserve">Gross Profit</t>
  </si>
  <si>
    <t xml:space="preserve">Other / SoI</t>
  </si>
  <si>
    <t xml:space="preserve">EBIT</t>
  </si>
  <si>
    <t xml:space="preserve">Check: running EBIT = table EBIT</t>
  </si>
  <si>
    <t xml:space="preserve">P&amp;L By Channel — source data (long format)</t>
  </si>
  <si>
    <t xml:space="preserve">One row per Period × Channel × Line × Scenario. Paste new periods below; Slide Calc picks them up via SUMIFS. Units: volume m UC, values mio€.</t>
  </si>
  <si>
    <t xml:space="preserve">Scenario</t>
  </si>
  <si>
    <t xml:space="preserve">Total</t>
  </si>
  <si>
    <t xml:space="preserve">AH</t>
  </si>
  <si>
    <t xml:space="preserve">YTD August 2026 — EBIT Bridge vs RE 6+6 (mio€)</t>
  </si>
  <si>
    <t xml:space="preserve">Source: YTD vs RE driver bridge (FP&amp;A), August 2026. Inputs in blue are typed from the bridge; everything else is formula.</t>
  </si>
  <si>
    <t xml:space="preserve">EBIT effect</t>
  </si>
  <si>
    <t xml:space="preserve">Cumulative</t>
  </si>
  <si>
    <t xml:space="preserve">Base (hidden)</t>
  </si>
  <si>
    <t xml:space="preserve">Up</t>
  </si>
  <si>
    <t xml:space="preserve">Down</t>
  </si>
  <si>
    <t xml:space="preserve">Ends</t>
  </si>
  <si>
    <t xml:space="preserve">Comment</t>
  </si>
  <si>
    <t xml:space="preserve">EBIT YTD RE 6+6</t>
  </si>
  <si>
    <t xml:space="preserve">Rolling estimate 6+6</t>
  </si>
  <si>
    <t xml:space="preserve">Volume Impact</t>
  </si>
  <si>
    <t xml:space="preserve">Volumes +1.3m UC vs RE (+0.7%): MT +1.4m UC and Sparkling Bev Core +1.6m UC; WHS -0.6m UC, Water Regular and Sport Drinks below estimate</t>
  </si>
  <si>
    <t xml:space="preserve">Category Mix</t>
  </si>
  <si>
    <t xml:space="preserve">Category mix positive: lower Water Regular (-0.2m UC), higher Sparkling Bev Core (+1.6m UC); brand mix positive on Coca-Cola Zero</t>
  </si>
  <si>
    <t xml:space="preserve">Pack mix</t>
  </si>
  <si>
    <t xml:space="preserve">Higher PET MS and BIB, lower glass (NRG and RGB SSD); partially recovered by CAN 0.330L Sparkling Bev Core</t>
  </si>
  <si>
    <t xml:space="preserve">Channel Mix</t>
  </si>
  <si>
    <t xml:space="preserve">AH +1.1% vs OOH -0.1% against RE</t>
  </si>
  <si>
    <t xml:space="preserve">NSR Pricing</t>
  </si>
  <si>
    <t xml:space="preserve">Positive phasing in Listing Fees and Disposals (anticipated from Q4, +2.2m) offsets higher activations; AH volume sold at old prices -0.3m and incidence effect -0.5m</t>
  </si>
  <si>
    <t xml:space="preserve">Concentrate</t>
  </si>
  <si>
    <t xml:space="preserve">Higher gross concentrate cost (logistics, yields/consumption), partially offset by McD PS benefit</t>
  </si>
  <si>
    <t xml:space="preserve">Raw Material</t>
  </si>
  <si>
    <t xml:space="preserve">Lower secondary packaging cost (+1.3m: beginning inventories, scaling on purchased quantities, GR/IR) and Monster PS (+0.4m); higher sugar, aluminium and resin</t>
  </si>
  <si>
    <t xml:space="preserve">POH &amp; Haulage</t>
  </si>
  <si>
    <t xml:space="preserve">Lower people cost and lower losses (CG reimbursement for Marcianise, one-off) fully offset negative recoveries; haulage -150k on recovery phasing</t>
  </si>
  <si>
    <t xml:space="preserve">Phasing in settlement with KO (TCCC contribution)</t>
  </si>
  <si>
    <t xml:space="preserve">OPEX excl. DME</t>
  </si>
  <si>
    <t xml:space="preserve">Higher Admin OPEX (planned efficiencies funded in actuals by NSR), partially offset by logistics CTS ex haulage +0.2m (Distribution optimisation and lower fuel in August)</t>
  </si>
  <si>
    <t xml:space="preserve">SoI</t>
  </si>
  <si>
    <t xml:space="preserve">In line with RE</t>
  </si>
  <si>
    <t xml:space="preserve">Other / One offs</t>
  </si>
  <si>
    <t xml:space="preserve">Net effect of I/C +0.4m, Olympics balancing in DME +0.4m (part shifted from OPEX Admin), higher volume sold to other bottler FBO +0.3m</t>
  </si>
  <si>
    <t xml:space="preserve">EBIT YTD 2026</t>
  </si>
  <si>
    <t xml:space="preserve">Actual YTD August</t>
  </si>
  <si>
    <t xml:space="preserve">Check: ACT EBIT per bridge</t>
  </si>
  <si>
    <t xml:space="preserve">Typed from bridge ACT row (115.25)</t>
  </si>
  <si>
    <t xml:space="preserve">Difference (should be ~0, rounding)</t>
  </si>
  <si>
    <t xml:space="preserve">Legend</t>
  </si>
  <si>
    <t xml:space="preserve">Blue = input typed from the FP&amp;A bridge (edit here). Black = formula. Columns D–G drive the waterfall chart (hidden base + up/down + end bars).</t>
  </si>
  <si>
    <t xml:space="preserve">NSR Pricing = Discounts (+2.16) + Net Pricing (-0.82), combined as on the vs PY bridge slide. Category Mix = Brand Mix row of the bridge.</t>
  </si>
  <si>
    <t xml:space="preserve">YTD vs RE 6+6 — rows as read from the FP&amp;A bridge (mio€, EBIT variance column)</t>
  </si>
  <si>
    <t xml:space="preserve">Row</t>
  </si>
  <si>
    <t xml:space="preserve">Brand Mix (category + brand)</t>
  </si>
  <si>
    <t xml:space="preserve">Package Mix</t>
  </si>
  <si>
    <t xml:space="preserve">Net Pricing</t>
  </si>
  <si>
    <t xml:space="preserve">TCCC Conc.</t>
  </si>
  <si>
    <t xml:space="preserve">Input Cost (excl. Conc.)</t>
  </si>
  <si>
    <t xml:space="preserve">Prod OHs and Haul.</t>
  </si>
  <si>
    <t xml:space="preserve">Share of IA</t>
  </si>
  <si>
    <t xml:space="preserve">Bridge total as displayed: 5.53 (rounding)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</si>
</sst>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;\(#,##0.0\);\-"/>
    <numFmt numFmtId="166" formatCode="0.0%;\(0.0%\);\-"/>
    <numFmt numFmtId="167" formatCode="0.00;\(0.00\);\-"/>
    <numFmt numFmtId="168" formatCode="\+0.00;\-0.00;0.00"/>
    <numFmt numFmtId="169" formatCode="\+0.0&quot;pp&quot;;\-0.0&quot;pp&quot;;0.0&quot;pp&quot;"/>
    <numFmt numFmtId="170" formatCode="0.000"/>
    <numFmt numFmtId="171" formatCode="#,##0.0;;;"/>
    <numFmt numFmtId="172" formatCode="#,##0.000"/>
    <numFmt numFmtId="173" formatCode="#,##0.0;\(#,##0.0\);\-"/>
    <numFmt numFmtId="174" formatCode="0.00;\(0.00\);\-"/>
    <numFmt numFmtId="175" formatCode="#,##0.0;\-#,##0.0;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990011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9900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3C7E"/>
        <bgColor rgb="FF333333"/>
      </patternFill>
    </fill>
    <fill>
      <patternFill patternType="solid">
        <fgColor rgb="FF990011"/>
        <bgColor rgb="FF800000"/>
      </patternFill>
    </fill>
    <fill>
      <patternFill patternType="solid">
        <fgColor rgb="FFF2F2F2"/>
        <bgColor rgb="FFE4F1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1E6B34"/>
      </font>
      <fill>
        <patternFill>
          <bgColor rgb="FFE4F1E7"/>
        </patternFill>
      </fill>
    </dxf>
    <dxf>
      <font>
        <name val="Arial"/>
        <charset val="1"/>
        <family val="0"/>
        <b val="1"/>
        <color rgb="FF990011"/>
      </font>
      <fill>
        <patternFill>
          <bgColor rgb="FFF7E1E3"/>
        </patternFill>
      </fill>
    </dxf>
    <dxf>
      <fill>
        <patternFill patternType="solid">
          <fgColor rgb="FF9900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11"/>
      <rgbColor rgb="FF1E6B34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4F1E7"/>
      <rgbColor rgb="FF660066"/>
      <rgbColor rgb="FFFF8080"/>
      <rgbColor rgb="FF0066CC"/>
      <rgbColor rgb="FFD9D2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3B3B3"/>
      <rgbColor rgb="FFFF99CC"/>
      <rgbColor rgb="FFCC99FF"/>
      <rgbColor rgb="FFF7E1E3"/>
      <rgbColor rgb="FF3366FF"/>
      <rgbColor rgb="FF33CCCC"/>
      <rgbColor rgb="FF99CC00"/>
      <rgbColor rgb="FFFFCC00"/>
      <rgbColor rgb="FFFF9900"/>
      <rgbColor rgb="FFFF6600"/>
      <rgbColor rgb="FF5A5A5A"/>
      <rgbColor rgb="FF878787"/>
      <rgbColor rgb="FF003366"/>
      <rgbColor rgb="FF339966"/>
      <rgbColor rgb="FF003300"/>
      <rgbColor rgb="FF333300"/>
      <rgbColor rgb="FF993300"/>
      <rgbColor rgb="FF993366"/>
      <rgbColor rgb="FF2F3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P&amp;L cascade (ACT)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'Slide Calc'!D63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'Slide Calc'!$A$64:$A$72</c:f>
              <c:strCache>
                <c:ptCount val="9"/>
                <c:pt idx="0">
                  <c:v>NSR</c:v>
                </c:pt>
                <c:pt idx="1">
                  <c:v>COGS</c:v>
                </c:pt>
                <c:pt idx="2">
                  <c:v>Gross Profit</c:v>
                </c:pt>
                <c:pt idx="3">
                  <c:v>W&amp;D</c:v>
                </c:pt>
                <c:pt idx="4">
                  <c:v>Net Contribution</c:v>
                </c:pt>
                <c:pt idx="5">
                  <c:v>Opex excl. W&amp;D</c:v>
                </c:pt>
                <c:pt idx="6">
                  <c:v>DME</c:v>
                </c:pt>
                <c:pt idx="7">
                  <c:v>Other / SoI</c:v>
                </c:pt>
                <c:pt idx="8">
                  <c:v>EBIT</c:v>
                </c:pt>
              </c:strCache>
            </c:strRef>
          </c:cat>
          <c:val>
            <c:numRef>
              <c:f>'Slide Calc'!$D$64:$D$72</c:f>
              <c:numCache>
                <c:formatCode>#,##0.0;\(#,##0.0\);\-</c:formatCode>
                <c:ptCount val="9"/>
                <c:pt idx="0">
                  <c:v>0</c:v>
                </c:pt>
                <c:pt idx="1">
                  <c:v>117.052</c:v>
                </c:pt>
                <c:pt idx="2">
                  <c:v>0</c:v>
                </c:pt>
                <c:pt idx="3">
                  <c:v>84.775</c:v>
                </c:pt>
                <c:pt idx="4">
                  <c:v>0</c:v>
                </c:pt>
                <c:pt idx="5">
                  <c:v>9.508</c:v>
                </c:pt>
                <c:pt idx="6">
                  <c:v>2.641</c:v>
                </c:pt>
                <c:pt idx="7">
                  <c:v>2.641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'Slide Calc'!E63</c:f>
              <c:strCache>
                <c:ptCount val="1"/>
                <c:pt idx="0">
                  <c:v>Total bar</c:v>
                </c:pt>
              </c:strCache>
            </c:strRef>
          </c:tx>
          <c:spPr>
            <a:solidFill>
              <a:srgbClr val="2f3c7e"/>
            </a:solidFill>
            <a:ln w="0">
              <a:noFill/>
            </a:ln>
          </c:spPr>
          <c:invertIfNegative val="0"/>
          <c:dLbls>
            <c:numFmt formatCode="#,##0.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'Slide Calc'!$A$64:$A$72</c:f>
              <c:strCache>
                <c:ptCount val="9"/>
                <c:pt idx="0">
                  <c:v>NSR</c:v>
                </c:pt>
                <c:pt idx="1">
                  <c:v>COGS</c:v>
                </c:pt>
                <c:pt idx="2">
                  <c:v>Gross Profit</c:v>
                </c:pt>
                <c:pt idx="3">
                  <c:v>W&amp;D</c:v>
                </c:pt>
                <c:pt idx="4">
                  <c:v>Net Contribution</c:v>
                </c:pt>
                <c:pt idx="5">
                  <c:v>Opex excl. W&amp;D</c:v>
                </c:pt>
                <c:pt idx="6">
                  <c:v>DME</c:v>
                </c:pt>
                <c:pt idx="7">
                  <c:v>Other / SoI</c:v>
                </c:pt>
                <c:pt idx="8">
                  <c:v>EBIT</c:v>
                </c:pt>
              </c:strCache>
            </c:strRef>
          </c:cat>
          <c:val>
            <c:numRef>
              <c:f>'Slide Calc'!$E$64:$E$72</c:f>
              <c:numCache>
                <c:formatCode>#,##0.0;\(#,##0.0\);\-</c:formatCode>
                <c:ptCount val="9"/>
                <c:pt idx="0">
                  <c:v>333.444</c:v>
                </c:pt>
                <c:pt idx="1">
                  <c:v>0</c:v>
                </c:pt>
                <c:pt idx="2">
                  <c:v>117.051</c:v>
                </c:pt>
                <c:pt idx="3">
                  <c:v>0</c:v>
                </c:pt>
                <c:pt idx="4">
                  <c:v>84.775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2.641</c:v>
                </c:pt>
              </c:numCache>
            </c:numRef>
          </c:val>
        </c:ser>
        <c:ser>
          <c:idx val="2"/>
          <c:order val="2"/>
          <c:tx>
            <c:strRef>
              <c:f>'Slide Calc'!F63</c:f>
              <c:strCache>
                <c:ptCount val="1"/>
                <c:pt idx="0">
                  <c:v>Cost bar</c:v>
                </c:pt>
              </c:strCache>
            </c:strRef>
          </c:tx>
          <c:spPr>
            <a:solidFill>
              <a:srgbClr val="d9d2d2"/>
            </a:solidFill>
            <a:ln w="0">
              <a:noFill/>
            </a:ln>
          </c:spPr>
          <c:invertIfNegative val="0"/>
          <c:dLbls>
            <c:numFmt formatCode="#,##0.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'Slide Calc'!$A$64:$A$72</c:f>
              <c:strCache>
                <c:ptCount val="9"/>
                <c:pt idx="0">
                  <c:v>NSR</c:v>
                </c:pt>
                <c:pt idx="1">
                  <c:v>COGS</c:v>
                </c:pt>
                <c:pt idx="2">
                  <c:v>Gross Profit</c:v>
                </c:pt>
                <c:pt idx="3">
                  <c:v>W&amp;D</c:v>
                </c:pt>
                <c:pt idx="4">
                  <c:v>Net Contribution</c:v>
                </c:pt>
                <c:pt idx="5">
                  <c:v>Opex excl. W&amp;D</c:v>
                </c:pt>
                <c:pt idx="6">
                  <c:v>DME</c:v>
                </c:pt>
                <c:pt idx="7">
                  <c:v>Other / SoI</c:v>
                </c:pt>
                <c:pt idx="8">
                  <c:v>EBIT</c:v>
                </c:pt>
              </c:strCache>
            </c:strRef>
          </c:cat>
          <c:val>
            <c:numRef>
              <c:f>'Slide Calc'!$F$64:$F$72</c:f>
              <c:numCache>
                <c:formatCode>#,##0.0;\(#,##0.0\);\-</c:formatCode>
                <c:ptCount val="9"/>
                <c:pt idx="0">
                  <c:v>0</c:v>
                </c:pt>
                <c:pt idx="1">
                  <c:v>216.392</c:v>
                </c:pt>
                <c:pt idx="2">
                  <c:v>0</c:v>
                </c:pt>
                <c:pt idx="3">
                  <c:v>32.276</c:v>
                </c:pt>
                <c:pt idx="4">
                  <c:v>0</c:v>
                </c:pt>
                <c:pt idx="5">
                  <c:v>75.267</c:v>
                </c:pt>
                <c:pt idx="6">
                  <c:v>6.867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50"/>
        <c:overlap val="100"/>
        <c:axId val="13817290"/>
        <c:axId val="49150537"/>
      </c:barChart>
      <c:catAx>
        <c:axId val="13817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50537"/>
        <c:crosses val="autoZero"/>
        <c:auto val="1"/>
        <c:lblAlgn val="ctr"/>
        <c:lblOffset val="100"/>
        <c:noMultiLvlLbl val="0"/>
      </c:catAx>
      <c:valAx>
        <c:axId val="49150537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172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August — EBIT Bridge vs RE 6+6 (mio€)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'EBIT Bridge vs RE'!D4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'EBIT Bridge vs RE'!$A$5:$A$18</c:f>
              <c:strCache>
                <c:ptCount val="14"/>
                <c:pt idx="0">
                  <c:v>EBIT YTD RE 6+6</c:v>
                </c:pt>
                <c:pt idx="1">
                  <c:v>Volume Impact</c:v>
                </c:pt>
                <c:pt idx="2">
                  <c:v>Category Mix</c:v>
                </c:pt>
                <c:pt idx="3">
                  <c:v>Pack mix</c:v>
                </c:pt>
                <c:pt idx="4">
                  <c:v>Channel Mix</c:v>
                </c:pt>
                <c:pt idx="5">
                  <c:v>NSR Pricing</c:v>
                </c:pt>
                <c:pt idx="6">
                  <c:v>Concentrate</c:v>
                </c:pt>
                <c:pt idx="7">
                  <c:v>Raw Material</c:v>
                </c:pt>
                <c:pt idx="8">
                  <c:v>POH &amp; Haulage</c:v>
                </c:pt>
                <c:pt idx="9">
                  <c:v>DME</c:v>
                </c:pt>
                <c:pt idx="10">
                  <c:v>OPEX excl. DME</c:v>
                </c:pt>
                <c:pt idx="11">
                  <c:v>SoI</c:v>
                </c:pt>
                <c:pt idx="12">
                  <c:v>Other / One offs</c:v>
                </c:pt>
                <c:pt idx="13">
                  <c:v>EBIT YTD 2026</c:v>
                </c:pt>
              </c:strCache>
            </c:strRef>
          </c:cat>
          <c:val>
            <c:numRef>
              <c:f>'EBIT Bridge vs RE'!$D$5:$D$18</c:f>
              <c:numCache>
                <c:formatCode>#,##0.0;\(#,##0.0\);\-</c:formatCode>
                <c:ptCount val="14"/>
                <c:pt idx="0">
                  <c:v>0</c:v>
                </c:pt>
                <c:pt idx="1">
                  <c:v>109.7</c:v>
                </c:pt>
                <c:pt idx="2">
                  <c:v>112.45</c:v>
                </c:pt>
                <c:pt idx="3">
                  <c:v>112.47</c:v>
                </c:pt>
                <c:pt idx="4">
                  <c:v>112.04</c:v>
                </c:pt>
                <c:pt idx="5">
                  <c:v>112.04</c:v>
                </c:pt>
                <c:pt idx="6">
                  <c:v>113.2</c:v>
                </c:pt>
                <c:pt idx="7">
                  <c:v>113.2</c:v>
                </c:pt>
                <c:pt idx="8">
                  <c:v>114.71</c:v>
                </c:pt>
                <c:pt idx="9">
                  <c:v>114.64</c:v>
                </c:pt>
                <c:pt idx="10">
                  <c:v>114.07</c:v>
                </c:pt>
                <c:pt idx="11">
                  <c:v>114.06</c:v>
                </c:pt>
                <c:pt idx="12">
                  <c:v>114.06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'EBIT Bridge vs RE'!E4</c:f>
              <c:strCache>
                <c:ptCount val="1"/>
                <c:pt idx="0">
                  <c:v>Up</c:v>
                </c:pt>
              </c:strCache>
            </c:strRef>
          </c:tx>
          <c:spPr>
            <a:solidFill>
              <a:srgbClr val="1e6b34"/>
            </a:solidFill>
            <a:ln w="0">
              <a:noFill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'EBIT Bridge vs RE'!$A$5:$A$18</c:f>
              <c:strCache>
                <c:ptCount val="14"/>
                <c:pt idx="0">
                  <c:v>EBIT YTD RE 6+6</c:v>
                </c:pt>
                <c:pt idx="1">
                  <c:v>Volume Impact</c:v>
                </c:pt>
                <c:pt idx="2">
                  <c:v>Category Mix</c:v>
                </c:pt>
                <c:pt idx="3">
                  <c:v>Pack mix</c:v>
                </c:pt>
                <c:pt idx="4">
                  <c:v>Channel Mix</c:v>
                </c:pt>
                <c:pt idx="5">
                  <c:v>NSR Pricing</c:v>
                </c:pt>
                <c:pt idx="6">
                  <c:v>Concentrate</c:v>
                </c:pt>
                <c:pt idx="7">
                  <c:v>Raw Material</c:v>
                </c:pt>
                <c:pt idx="8">
                  <c:v>POH &amp; Haulage</c:v>
                </c:pt>
                <c:pt idx="9">
                  <c:v>DME</c:v>
                </c:pt>
                <c:pt idx="10">
                  <c:v>OPEX excl. DME</c:v>
                </c:pt>
                <c:pt idx="11">
                  <c:v>SoI</c:v>
                </c:pt>
                <c:pt idx="12">
                  <c:v>Other / One offs</c:v>
                </c:pt>
                <c:pt idx="13">
                  <c:v>EBIT YTD 2026</c:v>
                </c:pt>
              </c:strCache>
            </c:strRef>
          </c:cat>
          <c:val>
            <c:numRef>
              <c:f>'EBIT Bridge vs RE'!$E$5:$E$18</c:f>
              <c:numCache>
                <c:formatCode>#,##0.0;\(#,##0.0\);\-</c:formatCode>
                <c:ptCount val="14"/>
                <c:pt idx="0">
                  <c:v>0</c:v>
                </c:pt>
                <c:pt idx="1">
                  <c:v>2.75</c:v>
                </c:pt>
                <c:pt idx="2">
                  <c:v>1.27</c:v>
                </c:pt>
                <c:pt idx="3">
                  <c:v>0</c:v>
                </c:pt>
                <c:pt idx="4">
                  <c:v>0</c:v>
                </c:pt>
                <c:pt idx="5">
                  <c:v>1.34</c:v>
                </c:pt>
                <c:pt idx="6">
                  <c:v>0</c:v>
                </c:pt>
                <c:pt idx="7">
                  <c:v>1.51</c:v>
                </c:pt>
                <c:pt idx="8">
                  <c:v>0.35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1.19</c:v>
                </c:pt>
                <c:pt idx="13">
                  <c:v>0</c:v>
                </c:pt>
              </c:numCache>
            </c:numRef>
          </c:val>
        </c:ser>
        <c:ser>
          <c:idx val="2"/>
          <c:order val="2"/>
          <c:tx>
            <c:strRef>
              <c:f>'EBIT Bridge vs RE'!F4</c:f>
              <c:strCache>
                <c:ptCount val="1"/>
                <c:pt idx="0">
                  <c:v>Down</c:v>
                </c:pt>
              </c:strCache>
            </c:strRef>
          </c:tx>
          <c:spPr>
            <a:solidFill>
              <a:srgbClr val="990011"/>
            </a:solidFill>
            <a:ln w="0">
              <a:noFill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'EBIT Bridge vs RE'!$A$5:$A$18</c:f>
              <c:strCache>
                <c:ptCount val="14"/>
                <c:pt idx="0">
                  <c:v>EBIT YTD RE 6+6</c:v>
                </c:pt>
                <c:pt idx="1">
                  <c:v>Volume Impact</c:v>
                </c:pt>
                <c:pt idx="2">
                  <c:v>Category Mix</c:v>
                </c:pt>
                <c:pt idx="3">
                  <c:v>Pack mix</c:v>
                </c:pt>
                <c:pt idx="4">
                  <c:v>Channel Mix</c:v>
                </c:pt>
                <c:pt idx="5">
                  <c:v>NSR Pricing</c:v>
                </c:pt>
                <c:pt idx="6">
                  <c:v>Concentrate</c:v>
                </c:pt>
                <c:pt idx="7">
                  <c:v>Raw Material</c:v>
                </c:pt>
                <c:pt idx="8">
                  <c:v>POH &amp; Haulage</c:v>
                </c:pt>
                <c:pt idx="9">
                  <c:v>DME</c:v>
                </c:pt>
                <c:pt idx="10">
                  <c:v>OPEX excl. DME</c:v>
                </c:pt>
                <c:pt idx="11">
                  <c:v>SoI</c:v>
                </c:pt>
                <c:pt idx="12">
                  <c:v>Other / One offs</c:v>
                </c:pt>
                <c:pt idx="13">
                  <c:v>EBIT YTD 2026</c:v>
                </c:pt>
              </c:strCache>
            </c:strRef>
          </c:cat>
          <c:val>
            <c:numRef>
              <c:f>'EBIT Bridge vs RE'!$F$5:$F$18</c:f>
              <c:numCache>
                <c:formatCode>#,##0.0;\(#,##0.0\);\-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1.25</c:v>
                </c:pt>
                <c:pt idx="4">
                  <c:v>0.43</c:v>
                </c:pt>
                <c:pt idx="5">
                  <c:v>0</c:v>
                </c:pt>
                <c:pt idx="6">
                  <c:v>0.18</c:v>
                </c:pt>
                <c:pt idx="7">
                  <c:v>0</c:v>
                </c:pt>
                <c:pt idx="8">
                  <c:v>0</c:v>
                </c:pt>
                <c:pt idx="9">
                  <c:v>0.42</c:v>
                </c:pt>
                <c:pt idx="10">
                  <c:v>0.57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3"/>
          <c:order val="3"/>
          <c:tx>
            <c:strRef>
              <c:f>'EBIT Bridge vs RE'!G4</c:f>
              <c:strCache>
                <c:ptCount val="1"/>
                <c:pt idx="0">
                  <c:v>Ends</c:v>
                </c:pt>
              </c:strCache>
            </c:strRef>
          </c:tx>
          <c:spPr>
            <a:solidFill>
              <a:srgbClr val="7f7f7f"/>
            </a:solidFill>
            <a:ln w="0">
              <a:noFill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'EBIT Bridge vs RE'!$A$5:$A$18</c:f>
              <c:strCache>
                <c:ptCount val="14"/>
                <c:pt idx="0">
                  <c:v>EBIT YTD RE 6+6</c:v>
                </c:pt>
                <c:pt idx="1">
                  <c:v>Volume Impact</c:v>
                </c:pt>
                <c:pt idx="2">
                  <c:v>Category Mix</c:v>
                </c:pt>
                <c:pt idx="3">
                  <c:v>Pack mix</c:v>
                </c:pt>
                <c:pt idx="4">
                  <c:v>Channel Mix</c:v>
                </c:pt>
                <c:pt idx="5">
                  <c:v>NSR Pricing</c:v>
                </c:pt>
                <c:pt idx="6">
                  <c:v>Concentrate</c:v>
                </c:pt>
                <c:pt idx="7">
                  <c:v>Raw Material</c:v>
                </c:pt>
                <c:pt idx="8">
                  <c:v>POH &amp; Haulage</c:v>
                </c:pt>
                <c:pt idx="9">
                  <c:v>DME</c:v>
                </c:pt>
                <c:pt idx="10">
                  <c:v>OPEX excl. DME</c:v>
                </c:pt>
                <c:pt idx="11">
                  <c:v>SoI</c:v>
                </c:pt>
                <c:pt idx="12">
                  <c:v>Other / One offs</c:v>
                </c:pt>
                <c:pt idx="13">
                  <c:v>EBIT YTD 2026</c:v>
                </c:pt>
              </c:strCache>
            </c:strRef>
          </c:cat>
          <c:val>
            <c:numRef>
              <c:f>'EBIT Bridge vs RE'!$G$5:$G$18</c:f>
              <c:numCache>
                <c:formatCode>#,##0.0;\(#,##0.0\);\-</c:formatCode>
                <c:ptCount val="14"/>
                <c:pt idx="0">
                  <c:v>109.7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115.25</c:v>
                </c:pt>
              </c:numCache>
            </c:numRef>
          </c:val>
        </c:ser>
        <c:gapWidth val="40"/>
        <c:overlap val="100"/>
        <c:axId val="19582219"/>
        <c:axId val="89624165"/>
      </c:barChart>
      <c:catAx>
        <c:axId val="195822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24165"/>
        <c:crosses val="autoZero"/>
        <c:auto val="1"/>
        <c:lblAlgn val="ctr"/>
        <c:lblOffset val="100"/>
        <c:noMultiLvlLbl val="0"/>
      </c:catAx>
      <c:valAx>
        <c:axId val="89624165"/>
        <c:scaling>
          <c:orientation val="minMax"/>
          <c:max val="120"/>
          <c:min val="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mio€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822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6</xdr:row>
      <xdr:rowOff>160560</xdr:rowOff>
    </xdr:from>
    <xdr:to>
      <xdr:col>22</xdr:col>
      <xdr:colOff>581760</xdr:colOff>
      <xdr:row>23</xdr:row>
      <xdr:rowOff>161640</xdr:rowOff>
    </xdr:to>
    <xdr:graphicFrame>
      <xdr:nvGraphicFramePr>
        <xdr:cNvPr id="0" name="Chart 1"/>
        <xdr:cNvGraphicFramePr/>
      </xdr:nvGraphicFramePr>
      <xdr:xfrm>
        <a:off x="9351720" y="1333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160920</xdr:rowOff>
    </xdr:from>
    <xdr:to>
      <xdr:col>7</xdr:col>
      <xdr:colOff>5387040</xdr:colOff>
      <xdr:row>49</xdr:row>
      <xdr:rowOff>98640</xdr:rowOff>
    </xdr:to>
    <xdr:graphicFrame>
      <xdr:nvGraphicFramePr>
        <xdr:cNvPr id="1" name="Chart 1"/>
        <xdr:cNvGraphicFramePr/>
      </xdr:nvGraphicFramePr>
      <xdr:xfrm>
        <a:off x="0" y="7971480"/>
        <a:ext cx="115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1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7" customFormat="false" ht="15" hidden="false" customHeight="false" outlineLevel="0" collapsed="false">
      <c r="A7" s="5" t="s">
        <v>6</v>
      </c>
    </row>
    <row r="8" customFormat="false" ht="15" hidden="false" customHeight="fals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</row>
    <row r="9" customFormat="false" ht="15" hidden="false" customHeight="false" outlineLevel="0" collapsed="false">
      <c r="A9" s="7" t="s">
        <v>13</v>
      </c>
      <c r="B9" s="8" t="n">
        <f aca="false">SUMIFS(Data!$E$5:$E$172,Data!$A$5:$A$172,$B$4,Data!$B$5:$B$172,$B$5,Data!$C$5:$C$172,$A9,Data!$D$5:$D$172,B$8)</f>
        <v>62.155</v>
      </c>
      <c r="C9" s="8" t="n">
        <f aca="false">SUMIFS(Data!$E$5:$E$172,Data!$A$5:$A$172,$B$4,Data!$B$5:$B$172,$B$5,Data!$C$5:$C$172,$A9,Data!$D$5:$D$172,C$8)</f>
        <v>62.195</v>
      </c>
      <c r="D9" s="8" t="n">
        <f aca="false">SUMIFS(Data!$E$5:$E$172,Data!$A$5:$A$172,$B$4,Data!$B$5:$B$172,$B$5,Data!$C$5:$C$172,$A9,Data!$D$5:$D$172,D$8)</f>
        <v>61.519</v>
      </c>
      <c r="E9" s="8" t="n">
        <f aca="false">SUMIFS(Data!$E$5:$E$172,Data!$A$5:$A$172,$B$4,Data!$B$5:$B$172,$B$5,Data!$C$5:$C$172,$A9,Data!$D$5:$D$172,E$8)</f>
        <v>57.624</v>
      </c>
      <c r="F9" s="2" t="s">
        <v>14</v>
      </c>
    </row>
    <row r="10" customFormat="false" ht="15" hidden="false" customHeight="false" outlineLevel="0" collapsed="false">
      <c r="A10" s="7" t="s">
        <v>15</v>
      </c>
      <c r="B10" s="8" t="n">
        <f aca="false">SUMIFS(Data!$E$5:$E$172,Data!$A$5:$A$172,$B$4,Data!$B$5:$B$172,$B$5,Data!$C$5:$C$172,$A10,Data!$D$5:$D$172,B$8)</f>
        <v>507.138</v>
      </c>
      <c r="C10" s="8" t="n">
        <f aca="false">SUMIFS(Data!$E$5:$E$172,Data!$A$5:$A$172,$B$4,Data!$B$5:$B$172,$B$5,Data!$C$5:$C$172,$A10,Data!$D$5:$D$172,C$8)</f>
        <v>508.119</v>
      </c>
      <c r="D10" s="8" t="n">
        <f aca="false">SUMIFS(Data!$E$5:$E$172,Data!$A$5:$A$172,$B$4,Data!$B$5:$B$172,$B$5,Data!$C$5:$C$172,$A10,Data!$D$5:$D$172,D$8)</f>
        <v>502.777</v>
      </c>
      <c r="E10" s="8" t="n">
        <f aca="false">SUMIFS(Data!$E$5:$E$172,Data!$A$5:$A$172,$B$4,Data!$B$5:$B$172,$B$5,Data!$C$5:$C$172,$A10,Data!$D$5:$D$172,E$8)</f>
        <v>465.569</v>
      </c>
      <c r="F10" s="2" t="s">
        <v>14</v>
      </c>
    </row>
    <row r="11" customFormat="false" ht="15" hidden="false" customHeight="false" outlineLevel="0" collapsed="false">
      <c r="A11" s="7" t="s">
        <v>16</v>
      </c>
      <c r="B11" s="8" t="n">
        <f aca="false">SUMIFS(Data!$E$5:$E$172,Data!$A$5:$A$172,$B$4,Data!$B$5:$B$172,$B$5,Data!$C$5:$C$172,$A11,Data!$D$5:$D$172,B$8)</f>
        <v>173.694</v>
      </c>
      <c r="C11" s="8" t="n">
        <f aca="false">SUMIFS(Data!$E$5:$E$172,Data!$A$5:$A$172,$B$4,Data!$B$5:$B$172,$B$5,Data!$C$5:$C$172,$A11,Data!$D$5:$D$172,C$8)</f>
        <v>174.093</v>
      </c>
      <c r="D11" s="8" t="n">
        <f aca="false">SUMIFS(Data!$E$5:$E$172,Data!$A$5:$A$172,$B$4,Data!$B$5:$B$172,$B$5,Data!$C$5:$C$172,$A11,Data!$D$5:$D$172,D$8)</f>
        <v>165.849</v>
      </c>
      <c r="E11" s="8" t="n">
        <f aca="false">SUMIFS(Data!$E$5:$E$172,Data!$A$5:$A$172,$B$4,Data!$B$5:$B$172,$B$5,Data!$C$5:$C$172,$A11,Data!$D$5:$D$172,E$8)</f>
        <v>149.266</v>
      </c>
      <c r="F11" s="2" t="s">
        <v>17</v>
      </c>
    </row>
    <row r="12" customFormat="false" ht="15" hidden="false" customHeight="false" outlineLevel="0" collapsed="false">
      <c r="A12" s="7" t="s">
        <v>18</v>
      </c>
      <c r="B12" s="8" t="n">
        <f aca="false">SUMIFS(Data!$E$5:$E$172,Data!$A$5:$A$172,$B$4,Data!$B$5:$B$172,$B$5,Data!$C$5:$C$172,$A12,Data!$D$5:$D$172,B$8)</f>
        <v>333.444</v>
      </c>
      <c r="C12" s="8" t="n">
        <f aca="false">SUMIFS(Data!$E$5:$E$172,Data!$A$5:$A$172,$B$4,Data!$B$5:$B$172,$B$5,Data!$C$5:$C$172,$A12,Data!$D$5:$D$172,C$8)</f>
        <v>334.026</v>
      </c>
      <c r="D12" s="8" t="n">
        <f aca="false">SUMIFS(Data!$E$5:$E$172,Data!$A$5:$A$172,$B$4,Data!$B$5:$B$172,$B$5,Data!$C$5:$C$172,$A12,Data!$D$5:$D$172,D$8)</f>
        <v>336.928</v>
      </c>
      <c r="E12" s="8" t="n">
        <f aca="false">SUMIFS(Data!$E$5:$E$172,Data!$A$5:$A$172,$B$4,Data!$B$5:$B$172,$B$5,Data!$C$5:$C$172,$A12,Data!$D$5:$D$172,E$8)</f>
        <v>316.303</v>
      </c>
      <c r="F12" s="2" t="s">
        <v>14</v>
      </c>
    </row>
    <row r="13" customFormat="false" ht="15" hidden="false" customHeight="false" outlineLevel="0" collapsed="false">
      <c r="A13" s="7" t="s">
        <v>19</v>
      </c>
      <c r="B13" s="8" t="n">
        <f aca="false">SUMIFS(Data!$E$5:$E$172,Data!$A$5:$A$172,$B$4,Data!$B$5:$B$172,$B$5,Data!$C$5:$C$172,$A13,Data!$D$5:$D$172,B$8)</f>
        <v>216.392</v>
      </c>
      <c r="C13" s="8" t="n">
        <f aca="false">SUMIFS(Data!$E$5:$E$172,Data!$A$5:$A$172,$B$4,Data!$B$5:$B$172,$B$5,Data!$C$5:$C$172,$A13,Data!$D$5:$D$172,C$8)</f>
        <v>217.443</v>
      </c>
      <c r="D13" s="8" t="n">
        <f aca="false">SUMIFS(Data!$E$5:$E$172,Data!$A$5:$A$172,$B$4,Data!$B$5:$B$172,$B$5,Data!$C$5:$C$172,$A13,Data!$D$5:$D$172,D$8)</f>
        <v>215.185</v>
      </c>
      <c r="E13" s="8" t="n">
        <f aca="false">SUMIFS(Data!$E$5:$E$172,Data!$A$5:$A$172,$B$4,Data!$B$5:$B$172,$B$5,Data!$C$5:$C$172,$A13,Data!$D$5:$D$172,E$8)</f>
        <v>202.343</v>
      </c>
      <c r="F13" s="2" t="s">
        <v>17</v>
      </c>
    </row>
    <row r="14" customFormat="false" ht="15" hidden="false" customHeight="false" outlineLevel="0" collapsed="false">
      <c r="A14" s="7" t="s">
        <v>20</v>
      </c>
      <c r="B14" s="8" t="n">
        <f aca="false">SUMIFS(Data!$E$5:$E$172,Data!$A$5:$A$172,$B$4,Data!$B$5:$B$172,$B$5,Data!$C$5:$C$172,$A14,Data!$D$5:$D$172,B$8)</f>
        <v>117.051</v>
      </c>
      <c r="C14" s="8" t="n">
        <f aca="false">SUMIFS(Data!$E$5:$E$172,Data!$A$5:$A$172,$B$4,Data!$B$5:$B$172,$B$5,Data!$C$5:$C$172,$A14,Data!$D$5:$D$172,C$8)</f>
        <v>116.583</v>
      </c>
      <c r="D14" s="8" t="n">
        <f aca="false">SUMIFS(Data!$E$5:$E$172,Data!$A$5:$A$172,$B$4,Data!$B$5:$B$172,$B$5,Data!$C$5:$C$172,$A14,Data!$D$5:$D$172,D$8)</f>
        <v>121.743</v>
      </c>
      <c r="E14" s="8" t="n">
        <f aca="false">SUMIFS(Data!$E$5:$E$172,Data!$A$5:$A$172,$B$4,Data!$B$5:$B$172,$B$5,Data!$C$5:$C$172,$A14,Data!$D$5:$D$172,E$8)</f>
        <v>113.96</v>
      </c>
      <c r="F14" s="2" t="s">
        <v>14</v>
      </c>
    </row>
    <row r="15" customFormat="false" ht="15" hidden="false" customHeight="false" outlineLevel="0" collapsed="false">
      <c r="A15" s="7" t="s">
        <v>21</v>
      </c>
      <c r="B15" s="8" t="n">
        <f aca="false">SUMIFS(Data!$E$5:$E$172,Data!$A$5:$A$172,$B$4,Data!$B$5:$B$172,$B$5,Data!$C$5:$C$172,$A15,Data!$D$5:$D$172,B$8)</f>
        <v>6.867</v>
      </c>
      <c r="C15" s="8" t="n">
        <f aca="false">SUMIFS(Data!$E$5:$E$172,Data!$A$5:$A$172,$B$4,Data!$B$5:$B$172,$B$5,Data!$C$5:$C$172,$A15,Data!$D$5:$D$172,C$8)</f>
        <v>7.095</v>
      </c>
      <c r="D15" s="8" t="n">
        <f aca="false">SUMIFS(Data!$E$5:$E$172,Data!$A$5:$A$172,$B$4,Data!$B$5:$B$172,$B$5,Data!$C$5:$C$172,$A15,Data!$D$5:$D$172,D$8)</f>
        <v>7.451</v>
      </c>
      <c r="E15" s="8" t="n">
        <f aca="false">SUMIFS(Data!$E$5:$E$172,Data!$A$5:$A$172,$B$4,Data!$B$5:$B$172,$B$5,Data!$C$5:$C$172,$A15,Data!$D$5:$D$172,E$8)</f>
        <v>5.154</v>
      </c>
      <c r="F15" s="2" t="s">
        <v>17</v>
      </c>
    </row>
    <row r="16" customFormat="false" ht="15" hidden="false" customHeight="false" outlineLevel="0" collapsed="false">
      <c r="A16" s="7" t="s">
        <v>22</v>
      </c>
      <c r="B16" s="8" t="n">
        <f aca="false">SUMIFS(Data!$E$5:$E$172,Data!$A$5:$A$172,$B$4,Data!$B$5:$B$172,$B$5,Data!$C$5:$C$172,$A16,Data!$D$5:$D$172,B$8)</f>
        <v>60.886</v>
      </c>
      <c r="C16" s="8" t="n">
        <f aca="false">SUMIFS(Data!$E$5:$E$172,Data!$A$5:$A$172,$B$4,Data!$B$5:$B$172,$B$5,Data!$C$5:$C$172,$A16,Data!$D$5:$D$172,C$8)</f>
        <v>61.088</v>
      </c>
      <c r="D16" s="8" t="n">
        <f aca="false">SUMIFS(Data!$E$5:$E$172,Data!$A$5:$A$172,$B$4,Data!$B$5:$B$172,$B$5,Data!$C$5:$C$172,$A16,Data!$D$5:$D$172,D$8)</f>
        <v>62.683</v>
      </c>
      <c r="E16" s="8" t="n">
        <f aca="false">SUMIFS(Data!$E$5:$E$172,Data!$A$5:$A$172,$B$4,Data!$B$5:$B$172,$B$5,Data!$C$5:$C$172,$A16,Data!$D$5:$D$172,E$8)</f>
        <v>57.797</v>
      </c>
      <c r="F16" s="2" t="s">
        <v>17</v>
      </c>
    </row>
    <row r="17" customFormat="false" ht="15" hidden="false" customHeight="false" outlineLevel="0" collapsed="false">
      <c r="A17" s="7" t="s">
        <v>23</v>
      </c>
      <c r="B17" s="8" t="n">
        <f aca="false">SUMIFS(Data!$E$5:$E$172,Data!$A$5:$A$172,$B$4,Data!$B$5:$B$172,$B$5,Data!$C$5:$C$172,$A17,Data!$D$5:$D$172,B$8)</f>
        <v>3.706</v>
      </c>
      <c r="C17" s="8" t="n">
        <f aca="false">SUMIFS(Data!$E$5:$E$172,Data!$A$5:$A$172,$B$4,Data!$B$5:$B$172,$B$5,Data!$C$5:$C$172,$A17,Data!$D$5:$D$172,C$8)</f>
        <v>3.634</v>
      </c>
      <c r="D17" s="8" t="n">
        <f aca="false">SUMIFS(Data!$E$5:$E$172,Data!$A$5:$A$172,$B$4,Data!$B$5:$B$172,$B$5,Data!$C$5:$C$172,$A17,Data!$D$5:$D$172,D$8)</f>
        <v>3.248</v>
      </c>
      <c r="E17" s="8" t="n">
        <f aca="false">SUMIFS(Data!$E$5:$E$172,Data!$A$5:$A$172,$B$4,Data!$B$5:$B$172,$B$5,Data!$C$5:$C$172,$A17,Data!$D$5:$D$172,E$8)</f>
        <v>3.452</v>
      </c>
      <c r="F17" s="2" t="s">
        <v>17</v>
      </c>
    </row>
    <row r="18" customFormat="false" ht="15" hidden="false" customHeight="false" outlineLevel="0" collapsed="false">
      <c r="A18" s="7" t="s">
        <v>24</v>
      </c>
      <c r="B18" s="8" t="n">
        <f aca="false">SUMIFS(Data!$E$5:$E$172,Data!$A$5:$A$172,$B$4,Data!$B$5:$B$172,$B$5,Data!$C$5:$C$172,$A18,Data!$D$5:$D$172,B$8)</f>
        <v>19.156</v>
      </c>
      <c r="C18" s="8" t="n">
        <f aca="false">SUMIFS(Data!$E$5:$E$172,Data!$A$5:$A$172,$B$4,Data!$B$5:$B$172,$B$5,Data!$C$5:$C$172,$A18,Data!$D$5:$D$172,C$8)</f>
        <v>19.346</v>
      </c>
      <c r="D18" s="8" t="n">
        <f aca="false">SUMIFS(Data!$E$5:$E$172,Data!$A$5:$A$172,$B$4,Data!$B$5:$B$172,$B$5,Data!$C$5:$C$172,$A18,Data!$D$5:$D$172,D$8)</f>
        <v>16.666</v>
      </c>
      <c r="E18" s="8" t="n">
        <f aca="false">SUMIFS(Data!$E$5:$E$172,Data!$A$5:$A$172,$B$4,Data!$B$5:$B$172,$B$5,Data!$C$5:$C$172,$A18,Data!$D$5:$D$172,E$8)</f>
        <v>16.618</v>
      </c>
      <c r="F18" s="2" t="s">
        <v>17</v>
      </c>
    </row>
    <row r="19" customFormat="false" ht="15" hidden="false" customHeight="false" outlineLevel="0" collapsed="false">
      <c r="A19" s="7" t="s">
        <v>25</v>
      </c>
      <c r="B19" s="8" t="n">
        <f aca="false">SUMIFS(Data!$E$5:$E$172,Data!$A$5:$A$172,$B$4,Data!$B$5:$B$172,$B$5,Data!$C$5:$C$172,$A19,Data!$D$5:$D$172,B$8)</f>
        <v>13.12</v>
      </c>
      <c r="C19" s="8" t="n">
        <f aca="false">SUMIFS(Data!$E$5:$E$172,Data!$A$5:$A$172,$B$4,Data!$B$5:$B$172,$B$5,Data!$C$5:$C$172,$A19,Data!$D$5:$D$172,C$8)</f>
        <v>13.097</v>
      </c>
      <c r="D19" s="8" t="n">
        <f aca="false">SUMIFS(Data!$E$5:$E$172,Data!$A$5:$A$172,$B$4,Data!$B$5:$B$172,$B$5,Data!$C$5:$C$172,$A19,Data!$D$5:$D$172,D$8)</f>
        <v>12.245</v>
      </c>
      <c r="E19" s="8" t="n">
        <f aca="false">SUMIFS(Data!$E$5:$E$172,Data!$A$5:$A$172,$B$4,Data!$B$5:$B$172,$B$5,Data!$C$5:$C$172,$A19,Data!$D$5:$D$172,E$8)</f>
        <v>11.848</v>
      </c>
      <c r="F19" s="2" t="s">
        <v>17</v>
      </c>
    </row>
    <row r="20" customFormat="false" ht="15" hidden="false" customHeight="false" outlineLevel="0" collapsed="false">
      <c r="A20" s="7" t="s">
        <v>26</v>
      </c>
      <c r="B20" s="8" t="n">
        <f aca="false">SUMIFS(Data!$E$5:$E$172,Data!$A$5:$A$172,$B$4,Data!$B$5:$B$172,$B$5,Data!$C$5:$C$172,$A20,Data!$D$5:$D$172,B$8)</f>
        <v>10.676</v>
      </c>
      <c r="C20" s="8" t="n">
        <f aca="false">SUMIFS(Data!$E$5:$E$172,Data!$A$5:$A$172,$B$4,Data!$B$5:$B$172,$B$5,Data!$C$5:$C$172,$A20,Data!$D$5:$D$172,C$8)</f>
        <v>10.189</v>
      </c>
      <c r="D20" s="8" t="n">
        <f aca="false">SUMIFS(Data!$E$5:$E$172,Data!$A$5:$A$172,$B$4,Data!$B$5:$B$172,$B$5,Data!$C$5:$C$172,$A20,Data!$D$5:$D$172,D$8)</f>
        <v>11.409</v>
      </c>
      <c r="E20" s="8" t="n">
        <f aca="false">SUMIFS(Data!$E$5:$E$172,Data!$A$5:$A$172,$B$4,Data!$B$5:$B$172,$B$5,Data!$C$5:$C$172,$A20,Data!$D$5:$D$172,E$8)</f>
        <v>9.703</v>
      </c>
      <c r="F20" s="2" t="s">
        <v>17</v>
      </c>
    </row>
    <row r="21" customFormat="false" ht="15" hidden="false" customHeight="false" outlineLevel="0" collapsed="false">
      <c r="A21" s="7" t="s">
        <v>27</v>
      </c>
      <c r="B21" s="8" t="n">
        <f aca="false">SUMIFS(Data!$E$5:$E$172,Data!$A$5:$A$172,$B$4,Data!$B$5:$B$172,$B$5,Data!$C$5:$C$172,$A21,Data!$D$5:$D$172,B$8)</f>
        <v>107.543</v>
      </c>
      <c r="C21" s="8" t="n">
        <f aca="false">SUMIFS(Data!$E$5:$E$172,Data!$A$5:$A$172,$B$4,Data!$B$5:$B$172,$B$5,Data!$C$5:$C$172,$A21,Data!$D$5:$D$172,C$8)</f>
        <v>107.354</v>
      </c>
      <c r="D21" s="8" t="n">
        <f aca="false">SUMIFS(Data!$E$5:$E$172,Data!$A$5:$A$172,$B$4,Data!$B$5:$B$172,$B$5,Data!$C$5:$C$172,$A21,Data!$D$5:$D$172,D$8)</f>
        <v>106.251</v>
      </c>
      <c r="E21" s="8" t="n">
        <f aca="false">SUMIFS(Data!$E$5:$E$172,Data!$A$5:$A$172,$B$4,Data!$B$5:$B$172,$B$5,Data!$C$5:$C$172,$A21,Data!$D$5:$D$172,E$8)</f>
        <v>99.445</v>
      </c>
      <c r="F21" s="2" t="s">
        <v>17</v>
      </c>
    </row>
    <row r="22" customFormat="false" ht="15" hidden="false" customHeight="false" outlineLevel="0" collapsed="false">
      <c r="A22" s="7" t="s">
        <v>28</v>
      </c>
      <c r="B22" s="8" t="n">
        <f aca="false">SUMIFS(Data!$E$5:$E$172,Data!$A$5:$A$172,$B$4,Data!$B$5:$B$172,$B$5,Data!$C$5:$C$172,$A22,Data!$D$5:$D$172,B$8)</f>
        <v>2.641</v>
      </c>
      <c r="C22" s="8" t="n">
        <f aca="false">SUMIFS(Data!$E$5:$E$172,Data!$A$5:$A$172,$B$4,Data!$B$5:$B$172,$B$5,Data!$C$5:$C$172,$A22,Data!$D$5:$D$172,C$8)</f>
        <v>2.135</v>
      </c>
      <c r="D22" s="8" t="n">
        <f aca="false">SUMIFS(Data!$E$5:$E$172,Data!$A$5:$A$172,$B$4,Data!$B$5:$B$172,$B$5,Data!$C$5:$C$172,$A22,Data!$D$5:$D$172,D$8)</f>
        <v>8.042</v>
      </c>
      <c r="E22" s="8" t="n">
        <f aca="false">SUMIFS(Data!$E$5:$E$172,Data!$A$5:$A$172,$B$4,Data!$B$5:$B$172,$B$5,Data!$C$5:$C$172,$A22,Data!$D$5:$D$172,E$8)</f>
        <v>9.361</v>
      </c>
      <c r="F22" s="2" t="s">
        <v>14</v>
      </c>
    </row>
    <row r="23" customFormat="false" ht="15" hidden="false" customHeight="false" outlineLevel="0" collapsed="false">
      <c r="A23" s="3" t="s">
        <v>29</v>
      </c>
      <c r="B23" s="8" t="n">
        <f aca="false">B18+B19</f>
        <v>32.276</v>
      </c>
      <c r="C23" s="8" t="n">
        <f aca="false">C18+C19</f>
        <v>32.443</v>
      </c>
      <c r="D23" s="8" t="n">
        <f aca="false">D18+D19</f>
        <v>28.911</v>
      </c>
      <c r="E23" s="8" t="n">
        <f aca="false">E18+E19</f>
        <v>28.466</v>
      </c>
      <c r="F23" s="2" t="s">
        <v>17</v>
      </c>
    </row>
    <row r="24" customFormat="false" ht="15" hidden="false" customHeight="false" outlineLevel="0" collapsed="false">
      <c r="A24" s="3" t="s">
        <v>30</v>
      </c>
      <c r="B24" s="8" t="n">
        <f aca="false">B14-B23</f>
        <v>84.775</v>
      </c>
      <c r="C24" s="8" t="n">
        <f aca="false">C14-C23</f>
        <v>84.14</v>
      </c>
      <c r="D24" s="8" t="n">
        <f aca="false">D14-D23</f>
        <v>92.832</v>
      </c>
      <c r="E24" s="8" t="n">
        <f aca="false">E14-E23</f>
        <v>85.494</v>
      </c>
      <c r="F24" s="2" t="s">
        <v>14</v>
      </c>
    </row>
    <row r="25" customFormat="false" ht="15" hidden="false" customHeight="false" outlineLevel="0" collapsed="false">
      <c r="A25" s="3" t="s">
        <v>31</v>
      </c>
      <c r="B25" s="8" t="n">
        <f aca="false">B21-B23</f>
        <v>75.267</v>
      </c>
      <c r="C25" s="8" t="n">
        <f aca="false">C21-C23</f>
        <v>74.911</v>
      </c>
      <c r="D25" s="8" t="n">
        <f aca="false">D21-D23</f>
        <v>77.34</v>
      </c>
      <c r="E25" s="8" t="n">
        <f aca="false">E21-E23</f>
        <v>70.979</v>
      </c>
      <c r="F25" s="2" t="s">
        <v>17</v>
      </c>
    </row>
    <row r="26" customFormat="false" ht="15" hidden="false" customHeight="false" outlineLevel="0" collapsed="false">
      <c r="A26" s="3" t="s">
        <v>32</v>
      </c>
      <c r="B26" s="8" t="n">
        <f aca="false">B22-(B24-B25-B15)</f>
        <v>0</v>
      </c>
      <c r="C26" s="8" t="n">
        <f aca="false">C22-(C24-C25-C15)</f>
        <v>0.00100000000000033</v>
      </c>
      <c r="D26" s="8" t="n">
        <f aca="false">D22-(D24-D25-D15)</f>
        <v>0.0010000000000101</v>
      </c>
      <c r="E26" s="8" t="n">
        <f aca="false">E22-(E24-E25-E15)</f>
        <v>0</v>
      </c>
      <c r="F26" s="2" t="s">
        <v>14</v>
      </c>
    </row>
    <row r="28" customFormat="false" ht="15" hidden="false" customHeight="false" outlineLevel="0" collapsed="false">
      <c r="A28" s="3" t="s">
        <v>33</v>
      </c>
    </row>
    <row r="29" customFormat="false" ht="15" hidden="false" customHeight="false" outlineLevel="0" collapsed="false">
      <c r="A29" s="7" t="s">
        <v>34</v>
      </c>
      <c r="B29" s="9" t="n">
        <f aca="false">IFERROR(B14/B12,0)</f>
        <v>0.351036455896642</v>
      </c>
      <c r="C29" s="9" t="n">
        <f aca="false">IFERROR(C14/C12,0)</f>
        <v>0.349023728691778</v>
      </c>
      <c r="D29" s="9" t="n">
        <f aca="false">IFERROR(D14/D12,0)</f>
        <v>0.36133239149017</v>
      </c>
      <c r="E29" s="9" t="n">
        <f aca="false">IFERROR(E14/E12,0)</f>
        <v>0.360287445898395</v>
      </c>
    </row>
    <row r="30" customFormat="false" ht="15" hidden="false" customHeight="false" outlineLevel="0" collapsed="false">
      <c r="A30" s="7" t="s">
        <v>35</v>
      </c>
      <c r="B30" s="9" t="n">
        <f aca="false">IFERROR(B24/B12,0)</f>
        <v>0.254240592123415</v>
      </c>
      <c r="C30" s="9" t="n">
        <f aca="false">IFERROR(C24/C12,0)</f>
        <v>0.251896558950501</v>
      </c>
      <c r="D30" s="9" t="n">
        <f aca="false">IFERROR(D24/D12,0)</f>
        <v>0.275524741190996</v>
      </c>
      <c r="E30" s="9" t="n">
        <f aca="false">IFERROR(E24/E12,0)</f>
        <v>0.270291461035779</v>
      </c>
    </row>
    <row r="31" customFormat="false" ht="15" hidden="false" customHeight="false" outlineLevel="0" collapsed="false">
      <c r="A31" s="7" t="s">
        <v>36</v>
      </c>
      <c r="B31" s="9" t="n">
        <f aca="false">IFERROR(B22/B12,0)</f>
        <v>0.00792037043701491</v>
      </c>
      <c r="C31" s="9" t="n">
        <f aca="false">IFERROR(C22/C12,0)</f>
        <v>0.00639171800997527</v>
      </c>
      <c r="D31" s="9" t="n">
        <f aca="false">IFERROR(D22/D12,0)</f>
        <v>0.0238686010067433</v>
      </c>
      <c r="E31" s="9" t="n">
        <f aca="false">IFERROR(E22/E12,0)</f>
        <v>0.0295950401987967</v>
      </c>
    </row>
    <row r="32" customFormat="false" ht="15" hidden="false" customHeight="false" outlineLevel="0" collapsed="false">
      <c r="A32" s="7" t="s">
        <v>37</v>
      </c>
      <c r="B32" s="9" t="n">
        <f aca="false">IFERROR(B11/B10,0)</f>
        <v>0.342498491534849</v>
      </c>
      <c r="C32" s="9" t="n">
        <f aca="false">IFERROR(C11/C10,0)</f>
        <v>0.342622495911391</v>
      </c>
      <c r="D32" s="9" t="n">
        <f aca="false">IFERROR(D11/D10,0)</f>
        <v>0.329865924654469</v>
      </c>
      <c r="E32" s="9" t="n">
        <f aca="false">IFERROR(E11/E10,0)</f>
        <v>0.32060983441767</v>
      </c>
    </row>
    <row r="34" customFormat="false" ht="15" hidden="false" customHeight="false" outlineLevel="0" collapsed="false">
      <c r="A34" s="5" t="s">
        <v>38</v>
      </c>
    </row>
    <row r="35" customFormat="false" ht="15" hidden="false" customHeight="false" outlineLevel="0" collapsed="false">
      <c r="A35" s="6" t="s">
        <v>7</v>
      </c>
      <c r="B35" s="6" t="s">
        <v>39</v>
      </c>
      <c r="C35" s="6" t="s">
        <v>40</v>
      </c>
      <c r="D35" s="6" t="s">
        <v>41</v>
      </c>
    </row>
    <row r="36" customFormat="false" ht="15" hidden="false" customHeight="false" outlineLevel="0" collapsed="false">
      <c r="A36" s="7" t="s">
        <v>13</v>
      </c>
      <c r="B36" s="10" t="n">
        <f aca="false">IF($F9="cost",C9-$B9,$B9-C9)</f>
        <v>-0.0399999999999992</v>
      </c>
      <c r="C36" s="10" t="n">
        <f aca="false">IF($F9="cost",D9-$B9,$B9-D9)</f>
        <v>0.636000000000003</v>
      </c>
      <c r="D36" s="10" t="n">
        <f aca="false">IF($F9="cost",E9-$B9,$B9-E9)</f>
        <v>4.531</v>
      </c>
    </row>
    <row r="37" customFormat="false" ht="15" hidden="false" customHeight="false" outlineLevel="0" collapsed="false">
      <c r="A37" s="7" t="s">
        <v>18</v>
      </c>
      <c r="B37" s="8" t="n">
        <f aca="false">IF($F12="cost",C12-$B12,$B12-C12)</f>
        <v>-0.581999999999994</v>
      </c>
      <c r="C37" s="8" t="n">
        <f aca="false">IF($F12="cost",D12-$B12,$B12-D12)</f>
        <v>-3.48399999999998</v>
      </c>
      <c r="D37" s="8" t="n">
        <f aca="false">IF($F12="cost",E12-$B12,$B12-E12)</f>
        <v>17.141</v>
      </c>
    </row>
    <row r="38" customFormat="false" ht="15" hidden="false" customHeight="false" outlineLevel="0" collapsed="false">
      <c r="A38" s="7" t="s">
        <v>19</v>
      </c>
      <c r="B38" s="8" t="n">
        <f aca="false">IF($F13="cost",C13-$B13,$B13-C13)</f>
        <v>1.05100000000002</v>
      </c>
      <c r="C38" s="8" t="n">
        <f aca="false">IF($F13="cost",D13-$B13,$B13-D13)</f>
        <v>-1.20699999999999</v>
      </c>
      <c r="D38" s="8" t="n">
        <f aca="false">IF($F13="cost",E13-$B13,$B13-E13)</f>
        <v>-14.049</v>
      </c>
    </row>
    <row r="39" customFormat="false" ht="15" hidden="false" customHeight="false" outlineLevel="0" collapsed="false">
      <c r="A39" s="7" t="s">
        <v>20</v>
      </c>
      <c r="B39" s="8" t="n">
        <f aca="false">IF($F14="cost",C14-$B14,$B14-C14)</f>
        <v>0.468000000000004</v>
      </c>
      <c r="C39" s="8" t="n">
        <f aca="false">IF($F14="cost",D14-$B14,$B14-D14)</f>
        <v>-4.69199999999999</v>
      </c>
      <c r="D39" s="8" t="n">
        <f aca="false">IF($F14="cost",E14-$B14,$B14-E14)</f>
        <v>3.09100000000001</v>
      </c>
    </row>
    <row r="40" customFormat="false" ht="15" hidden="false" customHeight="false" outlineLevel="0" collapsed="false">
      <c r="A40" s="7" t="s">
        <v>29</v>
      </c>
      <c r="B40" s="8" t="n">
        <f aca="false">IF($F23="cost",C23-$B23,$B23-C23)</f>
        <v>0.167000000000002</v>
      </c>
      <c r="C40" s="8" t="n">
        <f aca="false">IF($F23="cost",D23-$B23,$B23-D23)</f>
        <v>-3.365</v>
      </c>
      <c r="D40" s="8" t="n">
        <f aca="false">IF($F23="cost",E23-$B23,$B23-E23)</f>
        <v>-3.81</v>
      </c>
    </row>
    <row r="41" customFormat="false" ht="15" hidden="false" customHeight="false" outlineLevel="0" collapsed="false">
      <c r="A41" s="7" t="s">
        <v>30</v>
      </c>
      <c r="B41" s="8" t="n">
        <f aca="false">IF($F24="cost",C24-$B24,$B24-C24)</f>
        <v>0.635000000000005</v>
      </c>
      <c r="C41" s="8" t="n">
        <f aca="false">IF($F24="cost",D24-$B24,$B24-D24)</f>
        <v>-8.05699999999999</v>
      </c>
      <c r="D41" s="8" t="n">
        <f aca="false">IF($F24="cost",E24-$B24,$B24-E24)</f>
        <v>-0.718999999999994</v>
      </c>
    </row>
    <row r="42" customFormat="false" ht="15" hidden="false" customHeight="false" outlineLevel="0" collapsed="false">
      <c r="A42" s="7" t="s">
        <v>31</v>
      </c>
      <c r="B42" s="8" t="n">
        <f aca="false">IF($F25="cost",C25-$B25,$B25-C25)</f>
        <v>-0.356000000000009</v>
      </c>
      <c r="C42" s="8" t="n">
        <f aca="false">IF($F25="cost",D25-$B25,$B25-D25)</f>
        <v>2.07299999999999</v>
      </c>
      <c r="D42" s="8" t="n">
        <f aca="false">IF($F25="cost",E25-$B25,$B25-E25)</f>
        <v>-4.28800000000003</v>
      </c>
    </row>
    <row r="43" customFormat="false" ht="15" hidden="false" customHeight="false" outlineLevel="0" collapsed="false">
      <c r="A43" s="7" t="s">
        <v>21</v>
      </c>
      <c r="B43" s="8" t="n">
        <f aca="false">IF($F15="cost",C15-$B15,$B15-C15)</f>
        <v>0.228</v>
      </c>
      <c r="C43" s="8" t="n">
        <f aca="false">IF($F15="cost",D15-$B15,$B15-D15)</f>
        <v>0.584</v>
      </c>
      <c r="D43" s="8" t="n">
        <f aca="false">IF($F15="cost",E15-$B15,$B15-E15)</f>
        <v>-1.713</v>
      </c>
    </row>
    <row r="44" customFormat="false" ht="15" hidden="false" customHeight="false" outlineLevel="0" collapsed="false">
      <c r="A44" s="7" t="s">
        <v>32</v>
      </c>
      <c r="B44" s="8" t="n">
        <f aca="false">IF($F26="cost",C26-$B26,$B26-C26)</f>
        <v>-0.00100000000000033</v>
      </c>
      <c r="C44" s="8" t="n">
        <f aca="false">IF($F26="cost",D26-$B26,$B26-D26)</f>
        <v>-0.0010000000000101</v>
      </c>
      <c r="D44" s="8" t="n">
        <f aca="false">IF($F26="cost",E26-$B26,$B26-E26)</f>
        <v>0</v>
      </c>
    </row>
    <row r="45" customFormat="false" ht="15" hidden="false" customHeight="false" outlineLevel="0" collapsed="false">
      <c r="A45" s="7" t="s">
        <v>28</v>
      </c>
      <c r="B45" s="8" t="n">
        <f aca="false">IF($F22="cost",C22-$B22,$B22-C22)</f>
        <v>0.506</v>
      </c>
      <c r="C45" s="8" t="n">
        <f aca="false">IF($F22="cost",D22-$B22,$B22-D22)</f>
        <v>-5.401</v>
      </c>
      <c r="D45" s="8" t="n">
        <f aca="false">IF($F22="cost",E22-$B22,$B22-E22)</f>
        <v>-6.72</v>
      </c>
    </row>
    <row r="47" customFormat="false" ht="15" hidden="false" customHeight="false" outlineLevel="0" collapsed="false">
      <c r="A47" s="5" t="s">
        <v>42</v>
      </c>
    </row>
    <row r="48" customFormat="false" ht="15" hidden="false" customHeight="false" outlineLevel="0" collapsed="false">
      <c r="A48" s="6" t="s">
        <v>43</v>
      </c>
      <c r="B48" s="6" t="s">
        <v>8</v>
      </c>
      <c r="C48" s="6" t="s">
        <v>9</v>
      </c>
      <c r="D48" s="6" t="s">
        <v>10</v>
      </c>
      <c r="E48" s="6" t="s">
        <v>11</v>
      </c>
      <c r="F48" s="6" t="s">
        <v>44</v>
      </c>
      <c r="G48" s="6" t="s">
        <v>45</v>
      </c>
      <c r="H48" s="6" t="s">
        <v>46</v>
      </c>
      <c r="I48" s="6" t="s">
        <v>47</v>
      </c>
    </row>
    <row r="49" customFormat="false" ht="15" hidden="false" customHeight="false" outlineLevel="0" collapsed="false">
      <c r="A49" s="7" t="s">
        <v>48</v>
      </c>
      <c r="B49" s="10" t="n">
        <f aca="false">IFERROR(B12/B9,0)</f>
        <v>5.36471723916016</v>
      </c>
      <c r="C49" s="10" t="n">
        <f aca="false">IFERROR(C12/C9,0)</f>
        <v>5.37062464828362</v>
      </c>
      <c r="D49" s="10" t="n">
        <f aca="false">IFERROR(D12/D9,0)</f>
        <v>5.47681204180822</v>
      </c>
      <c r="E49" s="10" t="n">
        <f aca="false">IFERROR(E12/E9,0)</f>
        <v>5.48908440927391</v>
      </c>
      <c r="F49" s="11" t="n">
        <f aca="false">B49-C49</f>
        <v>-0.00590740912346011</v>
      </c>
      <c r="G49" s="11" t="n">
        <f aca="false">B49-D49</f>
        <v>-0.112094802648057</v>
      </c>
      <c r="H49" s="11" t="n">
        <f aca="false">B49-E49</f>
        <v>-0.124367170113749</v>
      </c>
      <c r="I49" s="2" t="s">
        <v>49</v>
      </c>
    </row>
    <row r="50" customFormat="false" ht="15" hidden="false" customHeight="false" outlineLevel="0" collapsed="false">
      <c r="A50" s="7" t="s">
        <v>50</v>
      </c>
      <c r="B50" s="10" t="n">
        <f aca="false">IFERROR(B13/B9,0)</f>
        <v>3.48148982382753</v>
      </c>
      <c r="C50" s="10" t="n">
        <f aca="false">IFERROR(C13/C9,0)</f>
        <v>3.4961492081357</v>
      </c>
      <c r="D50" s="10" t="n">
        <f aca="false">IFERROR(D13/D9,0)</f>
        <v>3.4978624489995</v>
      </c>
      <c r="E50" s="10" t="n">
        <f aca="false">IFERROR(E13/E9,0)</f>
        <v>3.51143620713592</v>
      </c>
      <c r="F50" s="11" t="n">
        <f aca="false">B50-C50</f>
        <v>-0.0146593843081746</v>
      </c>
      <c r="G50" s="11" t="n">
        <f aca="false">B50-D50</f>
        <v>-0.0163726251719685</v>
      </c>
      <c r="H50" s="11" t="n">
        <f aca="false">B50-E50</f>
        <v>-0.0299463833083875</v>
      </c>
      <c r="I50" s="2" t="s">
        <v>51</v>
      </c>
    </row>
    <row r="51" customFormat="false" ht="15" hidden="false" customHeight="false" outlineLevel="0" collapsed="false">
      <c r="A51" s="7" t="s">
        <v>52</v>
      </c>
      <c r="B51" s="10" t="n">
        <f aca="false">IFERROR(B14/B9,0)</f>
        <v>1.8832113265224</v>
      </c>
      <c r="C51" s="10" t="n">
        <f aca="false">IFERROR(C14/C9,0)</f>
        <v>1.87447544014792</v>
      </c>
      <c r="D51" s="10" t="n">
        <f aca="false">IFERROR(D14/D9,0)</f>
        <v>1.97894959280873</v>
      </c>
      <c r="E51" s="10" t="n">
        <f aca="false">IFERROR(E14/E9,0)</f>
        <v>1.977648202138</v>
      </c>
      <c r="F51" s="11" t="n">
        <f aca="false">B51-C51</f>
        <v>0.00873588637448197</v>
      </c>
      <c r="G51" s="11" t="n">
        <f aca="false">B51-D51</f>
        <v>-0.095738266286322</v>
      </c>
      <c r="H51" s="11" t="n">
        <f aca="false">B51-E51</f>
        <v>-0.0944368756155942</v>
      </c>
      <c r="I51" s="2" t="s">
        <v>49</v>
      </c>
    </row>
    <row r="52" customFormat="false" ht="15" hidden="false" customHeight="false" outlineLevel="0" collapsed="false">
      <c r="A52" s="7" t="s">
        <v>53</v>
      </c>
      <c r="B52" s="10" t="n">
        <f aca="false">IFERROR(B23/B9,0)</f>
        <v>0.519282439063631</v>
      </c>
      <c r="C52" s="10" t="n">
        <f aca="false">IFERROR(C23/C9,0)</f>
        <v>0.521633571830533</v>
      </c>
      <c r="D52" s="10" t="n">
        <f aca="false">IFERROR(D23/D9,0)</f>
        <v>0.469952372437784</v>
      </c>
      <c r="E52" s="10" t="n">
        <f aca="false">IFERROR(E23/E9,0)</f>
        <v>0.493995557406636</v>
      </c>
      <c r="F52" s="11" t="n">
        <f aca="false">B52-C52</f>
        <v>-0.0023511327669018</v>
      </c>
      <c r="G52" s="11" t="n">
        <f aca="false">B52-D52</f>
        <v>0.0493300666258477</v>
      </c>
      <c r="H52" s="11" t="n">
        <f aca="false">B52-E52</f>
        <v>0.025286881656995</v>
      </c>
      <c r="I52" s="2" t="s">
        <v>51</v>
      </c>
    </row>
    <row r="53" customFormat="false" ht="15" hidden="false" customHeight="false" outlineLevel="0" collapsed="false">
      <c r="A53" s="7" t="s">
        <v>54</v>
      </c>
      <c r="B53" s="10" t="n">
        <f aca="false">IFERROR(B24/B9,0)</f>
        <v>1.36392888745877</v>
      </c>
      <c r="C53" s="10" t="n">
        <f aca="false">IFERROR(C24/C9,0)</f>
        <v>1.35284186831739</v>
      </c>
      <c r="D53" s="10" t="n">
        <f aca="false">IFERROR(D24/D9,0)</f>
        <v>1.50899722037094</v>
      </c>
      <c r="E53" s="10" t="n">
        <f aca="false">IFERROR(E24/E9,0)</f>
        <v>1.48365264473136</v>
      </c>
      <c r="F53" s="11" t="n">
        <f aca="false">B53-C53</f>
        <v>0.0110870191413837</v>
      </c>
      <c r="G53" s="11" t="n">
        <f aca="false">B53-D53</f>
        <v>-0.14506833291217</v>
      </c>
      <c r="H53" s="11" t="n">
        <f aca="false">B53-E53</f>
        <v>-0.119723757272589</v>
      </c>
      <c r="I53" s="2" t="s">
        <v>49</v>
      </c>
    </row>
    <row r="54" customFormat="false" ht="15" hidden="false" customHeight="false" outlineLevel="0" collapsed="false">
      <c r="A54" s="7" t="s">
        <v>55</v>
      </c>
      <c r="B54" s="9" t="n">
        <f aca="false">B32</f>
        <v>0.342498491534849</v>
      </c>
      <c r="C54" s="9" t="n">
        <f aca="false">C32</f>
        <v>0.342622495911391</v>
      </c>
      <c r="D54" s="9" t="n">
        <f aca="false">D32</f>
        <v>0.329865924654469</v>
      </c>
      <c r="E54" s="9" t="n">
        <f aca="false">E32</f>
        <v>0.32060983441767</v>
      </c>
      <c r="F54" s="12" t="n">
        <f aca="false">(B54-C54)*100</f>
        <v>-0.0124004376542308</v>
      </c>
      <c r="G54" s="12" t="n">
        <f aca="false">(B54-D54)*100</f>
        <v>1.26325668803794</v>
      </c>
      <c r="H54" s="12" t="n">
        <f aca="false">(B54-E54)*100</f>
        <v>2.1888657117179</v>
      </c>
      <c r="I54" s="2" t="s">
        <v>51</v>
      </c>
    </row>
    <row r="56" customFormat="false" ht="15" hidden="false" customHeight="false" outlineLevel="0" collapsed="false">
      <c r="A56" s="5" t="s">
        <v>56</v>
      </c>
    </row>
    <row r="57" customFormat="false" ht="15" hidden="false" customHeight="false" outlineLevel="0" collapsed="false">
      <c r="A57" s="6" t="s">
        <v>57</v>
      </c>
      <c r="B57" s="6" t="s">
        <v>39</v>
      </c>
      <c r="C57" s="6" t="s">
        <v>40</v>
      </c>
      <c r="D57" s="6" t="s">
        <v>41</v>
      </c>
    </row>
    <row r="58" customFormat="false" ht="15" hidden="false" customHeight="false" outlineLevel="0" collapsed="false">
      <c r="A58" s="7" t="s">
        <v>58</v>
      </c>
      <c r="B58" s="8" t="n">
        <f aca="false">($B9-C9)*IFERROR(C12/C9,0)</f>
        <v>-0.21482498593134</v>
      </c>
      <c r="C58" s="8" t="n">
        <f aca="false">($B9-D9)*IFERROR(D12/D9,0)</f>
        <v>3.48325245859004</v>
      </c>
      <c r="D58" s="8" t="n">
        <f aca="false">($B9-E9)*IFERROR(E12/E9,0)</f>
        <v>24.8710414584201</v>
      </c>
    </row>
    <row r="59" customFormat="false" ht="15" hidden="false" customHeight="false" outlineLevel="0" collapsed="false">
      <c r="A59" s="7" t="s">
        <v>59</v>
      </c>
      <c r="B59" s="8" t="n">
        <f aca="false">($B12-C12)-B58</f>
        <v>-0.367175014068653</v>
      </c>
      <c r="C59" s="8" t="n">
        <f aca="false">($B12-D12)-C58</f>
        <v>-6.96725245859003</v>
      </c>
      <c r="D59" s="8" t="n">
        <f aca="false">($B12-E12)-D58</f>
        <v>-7.73004145842008</v>
      </c>
    </row>
    <row r="60" customFormat="false" ht="15" hidden="false" customHeight="false" outlineLevel="0" collapsed="false">
      <c r="A60" s="3" t="s">
        <v>60</v>
      </c>
      <c r="B60" s="13" t="n">
        <f aca="false">$B12-C12</f>
        <v>-0.581999999999994</v>
      </c>
      <c r="C60" s="13" t="n">
        <f aca="false">$B12-D12</f>
        <v>-3.48399999999998</v>
      </c>
      <c r="D60" s="13" t="n">
        <f aca="false">$B12-E12</f>
        <v>17.141</v>
      </c>
    </row>
    <row r="62" customFormat="false" ht="15" hidden="false" customHeight="false" outlineLevel="0" collapsed="false">
      <c r="A62" s="5" t="s">
        <v>61</v>
      </c>
    </row>
    <row r="63" customFormat="false" ht="15" hidden="false" customHeight="false" outlineLevel="0" collapsed="false">
      <c r="A63" s="6" t="s">
        <v>62</v>
      </c>
      <c r="B63" s="6" t="s">
        <v>63</v>
      </c>
      <c r="C63" s="6" t="s">
        <v>64</v>
      </c>
      <c r="D63" s="6" t="s">
        <v>65</v>
      </c>
      <c r="E63" s="6" t="s">
        <v>66</v>
      </c>
      <c r="F63" s="6" t="s">
        <v>67</v>
      </c>
    </row>
    <row r="64" customFormat="false" ht="15" hidden="false" customHeight="false" outlineLevel="0" collapsed="false">
      <c r="A64" s="3" t="s">
        <v>18</v>
      </c>
      <c r="B64" s="8" t="n">
        <f aca="false">B12</f>
        <v>333.444</v>
      </c>
      <c r="C64" s="8" t="n">
        <f aca="false">B64</f>
        <v>333.444</v>
      </c>
      <c r="D64" s="8" t="n">
        <v>0</v>
      </c>
      <c r="E64" s="8" t="n">
        <f aca="false">B64</f>
        <v>333.444</v>
      </c>
      <c r="F64" s="8" t="n">
        <v>0</v>
      </c>
    </row>
    <row r="65" customFormat="false" ht="15" hidden="false" customHeight="false" outlineLevel="0" collapsed="false">
      <c r="A65" s="7" t="s">
        <v>19</v>
      </c>
      <c r="B65" s="8" t="n">
        <f aca="false">-B13</f>
        <v>-216.392</v>
      </c>
      <c r="C65" s="8" t="n">
        <f aca="false">C64+B65</f>
        <v>117.052</v>
      </c>
      <c r="D65" s="8" t="n">
        <f aca="false">MIN(C64,C65)</f>
        <v>117.052</v>
      </c>
      <c r="E65" s="8" t="n">
        <v>0</v>
      </c>
      <c r="F65" s="8" t="n">
        <f aca="false">ABS(B65)</f>
        <v>216.392</v>
      </c>
    </row>
    <row r="66" customFormat="false" ht="15" hidden="false" customHeight="false" outlineLevel="0" collapsed="false">
      <c r="A66" s="3" t="s">
        <v>68</v>
      </c>
      <c r="B66" s="8" t="n">
        <f aca="false">B14</f>
        <v>117.051</v>
      </c>
      <c r="C66" s="8" t="n">
        <f aca="false">B66</f>
        <v>117.051</v>
      </c>
      <c r="D66" s="8" t="n">
        <v>0</v>
      </c>
      <c r="E66" s="8" t="n">
        <f aca="false">B66</f>
        <v>117.051</v>
      </c>
      <c r="F66" s="8" t="n">
        <v>0</v>
      </c>
    </row>
    <row r="67" customFormat="false" ht="15" hidden="false" customHeight="false" outlineLevel="0" collapsed="false">
      <c r="A67" s="7" t="s">
        <v>29</v>
      </c>
      <c r="B67" s="8" t="n">
        <f aca="false">-B23</f>
        <v>-32.276</v>
      </c>
      <c r="C67" s="8" t="n">
        <f aca="false">C66+B67</f>
        <v>84.775</v>
      </c>
      <c r="D67" s="8" t="n">
        <f aca="false">MIN(C66,C67)</f>
        <v>84.775</v>
      </c>
      <c r="E67" s="8" t="n">
        <v>0</v>
      </c>
      <c r="F67" s="8" t="n">
        <f aca="false">ABS(B67)</f>
        <v>32.276</v>
      </c>
    </row>
    <row r="68" customFormat="false" ht="15" hidden="false" customHeight="false" outlineLevel="0" collapsed="false">
      <c r="A68" s="3" t="s">
        <v>30</v>
      </c>
      <c r="B68" s="8" t="n">
        <f aca="false">B24</f>
        <v>84.775</v>
      </c>
      <c r="C68" s="8" t="n">
        <f aca="false">B68</f>
        <v>84.775</v>
      </c>
      <c r="D68" s="8" t="n">
        <v>0</v>
      </c>
      <c r="E68" s="8" t="n">
        <f aca="false">B68</f>
        <v>84.775</v>
      </c>
      <c r="F68" s="8" t="n">
        <v>0</v>
      </c>
    </row>
    <row r="69" customFormat="false" ht="15" hidden="false" customHeight="false" outlineLevel="0" collapsed="false">
      <c r="A69" s="7" t="s">
        <v>31</v>
      </c>
      <c r="B69" s="8" t="n">
        <f aca="false">-B25</f>
        <v>-75.267</v>
      </c>
      <c r="C69" s="8" t="n">
        <f aca="false">C68+B69</f>
        <v>9.508</v>
      </c>
      <c r="D69" s="8" t="n">
        <f aca="false">MIN(C68,C69)</f>
        <v>9.508</v>
      </c>
      <c r="E69" s="8" t="n">
        <v>0</v>
      </c>
      <c r="F69" s="8" t="n">
        <f aca="false">ABS(B69)</f>
        <v>75.267</v>
      </c>
    </row>
    <row r="70" customFormat="false" ht="15" hidden="false" customHeight="false" outlineLevel="0" collapsed="false">
      <c r="A70" s="7" t="s">
        <v>21</v>
      </c>
      <c r="B70" s="8" t="n">
        <f aca="false">-B15</f>
        <v>-6.867</v>
      </c>
      <c r="C70" s="8" t="n">
        <f aca="false">C69+B70</f>
        <v>2.641</v>
      </c>
      <c r="D70" s="8" t="n">
        <f aca="false">MIN(C69,C70)</f>
        <v>2.641</v>
      </c>
      <c r="E70" s="8" t="n">
        <v>0</v>
      </c>
      <c r="F70" s="8" t="n">
        <f aca="false">ABS(B70)</f>
        <v>6.867</v>
      </c>
    </row>
    <row r="71" customFormat="false" ht="15" hidden="false" customHeight="false" outlineLevel="0" collapsed="false">
      <c r="A71" s="7" t="s">
        <v>69</v>
      </c>
      <c r="B71" s="8" t="n">
        <f aca="false">B26</f>
        <v>0</v>
      </c>
      <c r="C71" s="8" t="n">
        <f aca="false">C70+B71</f>
        <v>2.641</v>
      </c>
      <c r="D71" s="8" t="n">
        <f aca="false">MIN(C70,C71)</f>
        <v>2.641</v>
      </c>
      <c r="E71" s="8" t="n">
        <v>0</v>
      </c>
      <c r="F71" s="8" t="n">
        <f aca="false">ABS(B71)</f>
        <v>0</v>
      </c>
    </row>
    <row r="72" customFormat="false" ht="15" hidden="false" customHeight="false" outlineLevel="0" collapsed="false">
      <c r="A72" s="3" t="s">
        <v>70</v>
      </c>
      <c r="B72" s="8" t="n">
        <f aca="false">B22</f>
        <v>2.641</v>
      </c>
      <c r="C72" s="8" t="n">
        <f aca="false">B72</f>
        <v>2.641</v>
      </c>
      <c r="D72" s="8" t="n">
        <v>0</v>
      </c>
      <c r="E72" s="8" t="n">
        <f aca="false">B72</f>
        <v>2.641</v>
      </c>
      <c r="F72" s="8" t="n">
        <v>0</v>
      </c>
    </row>
    <row r="73" customFormat="false" ht="15" hidden="false" customHeight="false" outlineLevel="0" collapsed="false">
      <c r="A73" s="2" t="s">
        <v>71</v>
      </c>
      <c r="B73" s="14" t="n">
        <f aca="false">C72-B22</f>
        <v>0</v>
      </c>
    </row>
  </sheetData>
  <conditionalFormatting sqref="B36:D45">
    <cfRule type="cellIs" priority="2" operator="greaterThan" aboveAverage="0" equalAverage="0" bottom="0" percent="0" rank="0" text="" dxfId="0">
      <formula>0.05</formula>
    </cfRule>
    <cfRule type="cellIs" priority="3" operator="lessThan" aboveAverage="0" equalAverage="0" bottom="0" percent="0" rank="0" text="" dxfId="1">
      <formula>-0.05</formula>
    </cfRule>
  </conditionalFormatting>
  <dataValidations count="1">
    <dataValidation allowBlank="false" errorStyle="stop" operator="between" showDropDown="false" showErrorMessage="false" showInputMessage="false" sqref="B5" type="list">
      <formula1>"Total,AH,OOH"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15" t="s">
        <v>2</v>
      </c>
      <c r="B4" s="15" t="s">
        <v>4</v>
      </c>
      <c r="C4" s="15" t="s">
        <v>7</v>
      </c>
      <c r="D4" s="15" t="s">
        <v>74</v>
      </c>
      <c r="E4" s="15" t="s">
        <v>63</v>
      </c>
    </row>
    <row r="5" customFormat="false" ht="15" hidden="false" customHeight="false" outlineLevel="0" collapsed="false">
      <c r="A5" s="16" t="s">
        <v>3</v>
      </c>
      <c r="B5" s="16" t="s">
        <v>75</v>
      </c>
      <c r="C5" s="16" t="s">
        <v>13</v>
      </c>
      <c r="D5" s="16" t="s">
        <v>8</v>
      </c>
      <c r="E5" s="17" t="n">
        <v>177.755</v>
      </c>
    </row>
    <row r="6" customFormat="false" ht="15" hidden="false" customHeight="false" outlineLevel="0" collapsed="false">
      <c r="A6" s="16" t="s">
        <v>3</v>
      </c>
      <c r="B6" s="16" t="s">
        <v>75</v>
      </c>
      <c r="C6" s="16" t="s">
        <v>13</v>
      </c>
      <c r="D6" s="16" t="s">
        <v>9</v>
      </c>
      <c r="E6" s="17" t="n">
        <v>176.484</v>
      </c>
    </row>
    <row r="7" customFormat="false" ht="15" hidden="false" customHeight="false" outlineLevel="0" collapsed="false">
      <c r="A7" s="16" t="s">
        <v>3</v>
      </c>
      <c r="B7" s="16" t="s">
        <v>75</v>
      </c>
      <c r="C7" s="16" t="s">
        <v>13</v>
      </c>
      <c r="D7" s="16" t="s">
        <v>10</v>
      </c>
      <c r="E7" s="17" t="n">
        <v>175.188</v>
      </c>
    </row>
    <row r="8" customFormat="false" ht="15" hidden="false" customHeight="false" outlineLevel="0" collapsed="false">
      <c r="A8" s="16" t="s">
        <v>3</v>
      </c>
      <c r="B8" s="16" t="s">
        <v>75</v>
      </c>
      <c r="C8" s="16" t="s">
        <v>13</v>
      </c>
      <c r="D8" s="16" t="s">
        <v>11</v>
      </c>
      <c r="E8" s="17" t="n">
        <v>170.621</v>
      </c>
    </row>
    <row r="9" customFormat="false" ht="15" hidden="false" customHeight="false" outlineLevel="0" collapsed="false">
      <c r="A9" s="16" t="s">
        <v>3</v>
      </c>
      <c r="B9" s="16" t="s">
        <v>75</v>
      </c>
      <c r="C9" s="16" t="s">
        <v>15</v>
      </c>
      <c r="D9" s="16" t="s">
        <v>8</v>
      </c>
      <c r="E9" s="17" t="n">
        <v>1684.732</v>
      </c>
    </row>
    <row r="10" customFormat="false" ht="15" hidden="false" customHeight="false" outlineLevel="0" collapsed="false">
      <c r="A10" s="16" t="s">
        <v>3</v>
      </c>
      <c r="B10" s="16" t="s">
        <v>75</v>
      </c>
      <c r="C10" s="16" t="s">
        <v>15</v>
      </c>
      <c r="D10" s="16" t="s">
        <v>9</v>
      </c>
      <c r="E10" s="17" t="n">
        <v>1674.236</v>
      </c>
    </row>
    <row r="11" customFormat="false" ht="15" hidden="false" customHeight="false" outlineLevel="0" collapsed="false">
      <c r="A11" s="16" t="s">
        <v>3</v>
      </c>
      <c r="B11" s="16" t="s">
        <v>75</v>
      </c>
      <c r="C11" s="16" t="s">
        <v>15</v>
      </c>
      <c r="D11" s="16" t="s">
        <v>10</v>
      </c>
      <c r="E11" s="17" t="n">
        <v>1657.958</v>
      </c>
    </row>
    <row r="12" customFormat="false" ht="15" hidden="false" customHeight="false" outlineLevel="0" collapsed="false">
      <c r="A12" s="16" t="s">
        <v>3</v>
      </c>
      <c r="B12" s="16" t="s">
        <v>75</v>
      </c>
      <c r="C12" s="16" t="s">
        <v>15</v>
      </c>
      <c r="D12" s="16" t="s">
        <v>11</v>
      </c>
      <c r="E12" s="17" t="n">
        <v>1534.797</v>
      </c>
    </row>
    <row r="13" customFormat="false" ht="15" hidden="false" customHeight="false" outlineLevel="0" collapsed="false">
      <c r="A13" s="16" t="s">
        <v>3</v>
      </c>
      <c r="B13" s="16" t="s">
        <v>75</v>
      </c>
      <c r="C13" s="16" t="s">
        <v>16</v>
      </c>
      <c r="D13" s="16" t="s">
        <v>8</v>
      </c>
      <c r="E13" s="17" t="n">
        <v>760.631</v>
      </c>
    </row>
    <row r="14" customFormat="false" ht="15" hidden="false" customHeight="false" outlineLevel="0" collapsed="false">
      <c r="A14" s="16" t="s">
        <v>3</v>
      </c>
      <c r="B14" s="16" t="s">
        <v>75</v>
      </c>
      <c r="C14" s="16" t="s">
        <v>16</v>
      </c>
      <c r="D14" s="16" t="s">
        <v>9</v>
      </c>
      <c r="E14" s="17" t="n">
        <v>756.828</v>
      </c>
    </row>
    <row r="15" customFormat="false" ht="15" hidden="false" customHeight="false" outlineLevel="0" collapsed="false">
      <c r="A15" s="16" t="s">
        <v>3</v>
      </c>
      <c r="B15" s="16" t="s">
        <v>75</v>
      </c>
      <c r="C15" s="16" t="s">
        <v>16</v>
      </c>
      <c r="D15" s="16" t="s">
        <v>10</v>
      </c>
      <c r="E15" s="17" t="n">
        <v>744.031</v>
      </c>
    </row>
    <row r="16" customFormat="false" ht="15" hidden="false" customHeight="false" outlineLevel="0" collapsed="false">
      <c r="A16" s="16" t="s">
        <v>3</v>
      </c>
      <c r="B16" s="16" t="s">
        <v>75</v>
      </c>
      <c r="C16" s="16" t="s">
        <v>16</v>
      </c>
      <c r="D16" s="16" t="s">
        <v>11</v>
      </c>
      <c r="E16" s="17" t="n">
        <v>664.508</v>
      </c>
    </row>
    <row r="17" customFormat="false" ht="15" hidden="false" customHeight="false" outlineLevel="0" collapsed="false">
      <c r="A17" s="16" t="s">
        <v>3</v>
      </c>
      <c r="B17" s="16" t="s">
        <v>75</v>
      </c>
      <c r="C17" s="16" t="s">
        <v>18</v>
      </c>
      <c r="D17" s="16" t="s">
        <v>8</v>
      </c>
      <c r="E17" s="17" t="n">
        <v>935.289</v>
      </c>
    </row>
    <row r="18" customFormat="false" ht="15" hidden="false" customHeight="false" outlineLevel="0" collapsed="false">
      <c r="A18" s="16" t="s">
        <v>3</v>
      </c>
      <c r="B18" s="16" t="s">
        <v>75</v>
      </c>
      <c r="C18" s="16" t="s">
        <v>18</v>
      </c>
      <c r="D18" s="16" t="s">
        <v>9</v>
      </c>
      <c r="E18" s="17" t="n">
        <v>928.519</v>
      </c>
    </row>
    <row r="19" customFormat="false" ht="15" hidden="false" customHeight="false" outlineLevel="0" collapsed="false">
      <c r="A19" s="16" t="s">
        <v>3</v>
      </c>
      <c r="B19" s="16" t="s">
        <v>75</v>
      </c>
      <c r="C19" s="16" t="s">
        <v>18</v>
      </c>
      <c r="D19" s="16" t="s">
        <v>10</v>
      </c>
      <c r="E19" s="17" t="n">
        <v>924.796</v>
      </c>
    </row>
    <row r="20" customFormat="false" ht="15" hidden="false" customHeight="false" outlineLevel="0" collapsed="false">
      <c r="A20" s="16" t="s">
        <v>3</v>
      </c>
      <c r="B20" s="16" t="s">
        <v>75</v>
      </c>
      <c r="C20" s="16" t="s">
        <v>18</v>
      </c>
      <c r="D20" s="16" t="s">
        <v>11</v>
      </c>
      <c r="E20" s="17" t="n">
        <v>879.392</v>
      </c>
    </row>
    <row r="21" customFormat="false" ht="15" hidden="false" customHeight="false" outlineLevel="0" collapsed="false">
      <c r="A21" s="16" t="s">
        <v>3</v>
      </c>
      <c r="B21" s="16" t="s">
        <v>75</v>
      </c>
      <c r="C21" s="16" t="s">
        <v>19</v>
      </c>
      <c r="D21" s="16" t="s">
        <v>8</v>
      </c>
      <c r="E21" s="17" t="n">
        <v>590.484</v>
      </c>
    </row>
    <row r="22" customFormat="false" ht="15" hidden="false" customHeight="false" outlineLevel="0" collapsed="false">
      <c r="A22" s="16" t="s">
        <v>3</v>
      </c>
      <c r="B22" s="16" t="s">
        <v>75</v>
      </c>
      <c r="C22" s="16" t="s">
        <v>19</v>
      </c>
      <c r="D22" s="16" t="s">
        <v>9</v>
      </c>
      <c r="E22" s="17" t="n">
        <v>589.913</v>
      </c>
    </row>
    <row r="23" customFormat="false" ht="15" hidden="false" customHeight="false" outlineLevel="0" collapsed="false">
      <c r="A23" s="16" t="s">
        <v>3</v>
      </c>
      <c r="B23" s="16" t="s">
        <v>75</v>
      </c>
      <c r="C23" s="16" t="s">
        <v>19</v>
      </c>
      <c r="D23" s="16" t="s">
        <v>10</v>
      </c>
      <c r="E23" s="17" t="n">
        <v>579.556</v>
      </c>
    </row>
    <row r="24" customFormat="false" ht="15" hidden="false" customHeight="false" outlineLevel="0" collapsed="false">
      <c r="A24" s="16" t="s">
        <v>3</v>
      </c>
      <c r="B24" s="16" t="s">
        <v>75</v>
      </c>
      <c r="C24" s="16" t="s">
        <v>19</v>
      </c>
      <c r="D24" s="16" t="s">
        <v>11</v>
      </c>
      <c r="E24" s="17" t="n">
        <v>555.498</v>
      </c>
    </row>
    <row r="25" customFormat="false" ht="15" hidden="false" customHeight="false" outlineLevel="0" collapsed="false">
      <c r="A25" s="16" t="s">
        <v>3</v>
      </c>
      <c r="B25" s="16" t="s">
        <v>75</v>
      </c>
      <c r="C25" s="16" t="s">
        <v>20</v>
      </c>
      <c r="D25" s="16" t="s">
        <v>8</v>
      </c>
      <c r="E25" s="17" t="n">
        <v>344.805</v>
      </c>
    </row>
    <row r="26" customFormat="false" ht="15" hidden="false" customHeight="false" outlineLevel="0" collapsed="false">
      <c r="A26" s="16" t="s">
        <v>3</v>
      </c>
      <c r="B26" s="16" t="s">
        <v>75</v>
      </c>
      <c r="C26" s="16" t="s">
        <v>20</v>
      </c>
      <c r="D26" s="16" t="s">
        <v>9</v>
      </c>
      <c r="E26" s="17" t="n">
        <v>338.607</v>
      </c>
    </row>
    <row r="27" customFormat="false" ht="15" hidden="false" customHeight="false" outlineLevel="0" collapsed="false">
      <c r="A27" s="16" t="s">
        <v>3</v>
      </c>
      <c r="B27" s="16" t="s">
        <v>75</v>
      </c>
      <c r="C27" s="16" t="s">
        <v>20</v>
      </c>
      <c r="D27" s="16" t="s">
        <v>10</v>
      </c>
      <c r="E27" s="17" t="n">
        <v>345.24</v>
      </c>
    </row>
    <row r="28" customFormat="false" ht="15" hidden="false" customHeight="false" outlineLevel="0" collapsed="false">
      <c r="A28" s="16" t="s">
        <v>3</v>
      </c>
      <c r="B28" s="16" t="s">
        <v>75</v>
      </c>
      <c r="C28" s="16" t="s">
        <v>20</v>
      </c>
      <c r="D28" s="16" t="s">
        <v>11</v>
      </c>
      <c r="E28" s="17" t="n">
        <v>323.894</v>
      </c>
    </row>
    <row r="29" customFormat="false" ht="15" hidden="false" customHeight="false" outlineLevel="0" collapsed="false">
      <c r="A29" s="16" t="s">
        <v>3</v>
      </c>
      <c r="B29" s="16" t="s">
        <v>75</v>
      </c>
      <c r="C29" s="16" t="s">
        <v>21</v>
      </c>
      <c r="D29" s="16" t="s">
        <v>8</v>
      </c>
      <c r="E29" s="17" t="n">
        <v>22.623</v>
      </c>
    </row>
    <row r="30" customFormat="false" ht="15" hidden="false" customHeight="false" outlineLevel="0" collapsed="false">
      <c r="A30" s="16" t="s">
        <v>3</v>
      </c>
      <c r="B30" s="16" t="s">
        <v>75</v>
      </c>
      <c r="C30" s="16" t="s">
        <v>21</v>
      </c>
      <c r="D30" s="16" t="s">
        <v>9</v>
      </c>
      <c r="E30" s="17" t="n">
        <v>22.61</v>
      </c>
    </row>
    <row r="31" customFormat="false" ht="15" hidden="false" customHeight="false" outlineLevel="0" collapsed="false">
      <c r="A31" s="16" t="s">
        <v>3</v>
      </c>
      <c r="B31" s="16" t="s">
        <v>75</v>
      </c>
      <c r="C31" s="16" t="s">
        <v>21</v>
      </c>
      <c r="D31" s="16" t="s">
        <v>10</v>
      </c>
      <c r="E31" s="17" t="n">
        <v>22.78</v>
      </c>
    </row>
    <row r="32" customFormat="false" ht="15" hidden="false" customHeight="false" outlineLevel="0" collapsed="false">
      <c r="A32" s="16" t="s">
        <v>3</v>
      </c>
      <c r="B32" s="16" t="s">
        <v>75</v>
      </c>
      <c r="C32" s="16" t="s">
        <v>21</v>
      </c>
      <c r="D32" s="16" t="s">
        <v>11</v>
      </c>
      <c r="E32" s="17" t="n">
        <v>16.61</v>
      </c>
    </row>
    <row r="33" customFormat="false" ht="15" hidden="false" customHeight="false" outlineLevel="0" collapsed="false">
      <c r="A33" s="16" t="s">
        <v>3</v>
      </c>
      <c r="B33" s="16" t="s">
        <v>75</v>
      </c>
      <c r="C33" s="16" t="s">
        <v>22</v>
      </c>
      <c r="D33" s="16" t="s">
        <v>8</v>
      </c>
      <c r="E33" s="17" t="n">
        <v>95.277</v>
      </c>
    </row>
    <row r="34" customFormat="false" ht="15" hidden="false" customHeight="false" outlineLevel="0" collapsed="false">
      <c r="A34" s="16" t="s">
        <v>3</v>
      </c>
      <c r="B34" s="16" t="s">
        <v>75</v>
      </c>
      <c r="C34" s="16" t="s">
        <v>22</v>
      </c>
      <c r="D34" s="16" t="s">
        <v>9</v>
      </c>
      <c r="E34" s="17" t="n">
        <v>95.102</v>
      </c>
    </row>
    <row r="35" customFormat="false" ht="15" hidden="false" customHeight="false" outlineLevel="0" collapsed="false">
      <c r="A35" s="16" t="s">
        <v>3</v>
      </c>
      <c r="B35" s="16" t="s">
        <v>75</v>
      </c>
      <c r="C35" s="16" t="s">
        <v>22</v>
      </c>
      <c r="D35" s="16" t="s">
        <v>10</v>
      </c>
      <c r="E35" s="17" t="n">
        <v>96.176</v>
      </c>
    </row>
    <row r="36" customFormat="false" ht="15" hidden="false" customHeight="false" outlineLevel="0" collapsed="false">
      <c r="A36" s="16" t="s">
        <v>3</v>
      </c>
      <c r="B36" s="16" t="s">
        <v>75</v>
      </c>
      <c r="C36" s="16" t="s">
        <v>22</v>
      </c>
      <c r="D36" s="16" t="s">
        <v>11</v>
      </c>
      <c r="E36" s="17" t="n">
        <v>91.322</v>
      </c>
    </row>
    <row r="37" customFormat="false" ht="15" hidden="false" customHeight="false" outlineLevel="0" collapsed="false">
      <c r="A37" s="16" t="s">
        <v>3</v>
      </c>
      <c r="B37" s="16" t="s">
        <v>75</v>
      </c>
      <c r="C37" s="16" t="s">
        <v>23</v>
      </c>
      <c r="D37" s="16" t="s">
        <v>8</v>
      </c>
      <c r="E37" s="17" t="n">
        <v>10.138</v>
      </c>
    </row>
    <row r="38" customFormat="false" ht="15" hidden="false" customHeight="false" outlineLevel="0" collapsed="false">
      <c r="A38" s="16" t="s">
        <v>3</v>
      </c>
      <c r="B38" s="16" t="s">
        <v>75</v>
      </c>
      <c r="C38" s="16" t="s">
        <v>23</v>
      </c>
      <c r="D38" s="16" t="s">
        <v>9</v>
      </c>
      <c r="E38" s="17" t="n">
        <v>10.3</v>
      </c>
    </row>
    <row r="39" customFormat="false" ht="15" hidden="false" customHeight="false" outlineLevel="0" collapsed="false">
      <c r="A39" s="16" t="s">
        <v>3</v>
      </c>
      <c r="B39" s="16" t="s">
        <v>75</v>
      </c>
      <c r="C39" s="16" t="s">
        <v>23</v>
      </c>
      <c r="D39" s="16" t="s">
        <v>10</v>
      </c>
      <c r="E39" s="17" t="n">
        <v>10.352</v>
      </c>
    </row>
    <row r="40" customFormat="false" ht="15" hidden="false" customHeight="false" outlineLevel="0" collapsed="false">
      <c r="A40" s="16" t="s">
        <v>3</v>
      </c>
      <c r="B40" s="16" t="s">
        <v>75</v>
      </c>
      <c r="C40" s="16" t="s">
        <v>23</v>
      </c>
      <c r="D40" s="16" t="s">
        <v>11</v>
      </c>
      <c r="E40" s="17" t="n">
        <v>9.139</v>
      </c>
    </row>
    <row r="41" customFormat="false" ht="15" hidden="false" customHeight="false" outlineLevel="0" collapsed="false">
      <c r="A41" s="16" t="s">
        <v>3</v>
      </c>
      <c r="B41" s="16" t="s">
        <v>75</v>
      </c>
      <c r="C41" s="16" t="s">
        <v>24</v>
      </c>
      <c r="D41" s="16" t="s">
        <v>8</v>
      </c>
      <c r="E41" s="17" t="n">
        <v>40.096</v>
      </c>
    </row>
    <row r="42" customFormat="false" ht="15" hidden="false" customHeight="false" outlineLevel="0" collapsed="false">
      <c r="A42" s="16" t="s">
        <v>3</v>
      </c>
      <c r="B42" s="16" t="s">
        <v>75</v>
      </c>
      <c r="C42" s="16" t="s">
        <v>24</v>
      </c>
      <c r="D42" s="16" t="s">
        <v>9</v>
      </c>
      <c r="E42" s="17" t="n">
        <v>40.212</v>
      </c>
    </row>
    <row r="43" customFormat="false" ht="15" hidden="false" customHeight="false" outlineLevel="0" collapsed="false">
      <c r="A43" s="16" t="s">
        <v>3</v>
      </c>
      <c r="B43" s="16" t="s">
        <v>75</v>
      </c>
      <c r="C43" s="16" t="s">
        <v>24</v>
      </c>
      <c r="D43" s="16" t="s">
        <v>10</v>
      </c>
      <c r="E43" s="17" t="n">
        <v>37.792</v>
      </c>
    </row>
    <row r="44" customFormat="false" ht="15" hidden="false" customHeight="false" outlineLevel="0" collapsed="false">
      <c r="A44" s="16" t="s">
        <v>3</v>
      </c>
      <c r="B44" s="16" t="s">
        <v>75</v>
      </c>
      <c r="C44" s="16" t="s">
        <v>24</v>
      </c>
      <c r="D44" s="16" t="s">
        <v>11</v>
      </c>
      <c r="E44" s="17" t="n">
        <v>36.355</v>
      </c>
    </row>
    <row r="45" customFormat="false" ht="15" hidden="false" customHeight="false" outlineLevel="0" collapsed="false">
      <c r="A45" s="16" t="s">
        <v>3</v>
      </c>
      <c r="B45" s="16" t="s">
        <v>75</v>
      </c>
      <c r="C45" s="16" t="s">
        <v>25</v>
      </c>
      <c r="D45" s="16" t="s">
        <v>8</v>
      </c>
      <c r="E45" s="17" t="n">
        <v>33.272</v>
      </c>
    </row>
    <row r="46" customFormat="false" ht="15" hidden="false" customHeight="false" outlineLevel="0" collapsed="false">
      <c r="A46" s="16" t="s">
        <v>3</v>
      </c>
      <c r="B46" s="16" t="s">
        <v>75</v>
      </c>
      <c r="C46" s="16" t="s">
        <v>25</v>
      </c>
      <c r="D46" s="16" t="s">
        <v>9</v>
      </c>
      <c r="E46" s="17" t="n">
        <v>33.186</v>
      </c>
    </row>
    <row r="47" customFormat="false" ht="15" hidden="false" customHeight="false" outlineLevel="0" collapsed="false">
      <c r="A47" s="16" t="s">
        <v>3</v>
      </c>
      <c r="B47" s="16" t="s">
        <v>75</v>
      </c>
      <c r="C47" s="16" t="s">
        <v>25</v>
      </c>
      <c r="D47" s="16" t="s">
        <v>10</v>
      </c>
      <c r="E47" s="17" t="n">
        <v>31.89</v>
      </c>
    </row>
    <row r="48" customFormat="false" ht="15" hidden="false" customHeight="false" outlineLevel="0" collapsed="false">
      <c r="A48" s="16" t="s">
        <v>3</v>
      </c>
      <c r="B48" s="16" t="s">
        <v>75</v>
      </c>
      <c r="C48" s="16" t="s">
        <v>25</v>
      </c>
      <c r="D48" s="16" t="s">
        <v>11</v>
      </c>
      <c r="E48" s="17" t="n">
        <v>30.911</v>
      </c>
    </row>
    <row r="49" customFormat="false" ht="15" hidden="false" customHeight="false" outlineLevel="0" collapsed="false">
      <c r="A49" s="16" t="s">
        <v>3</v>
      </c>
      <c r="B49" s="16" t="s">
        <v>75</v>
      </c>
      <c r="C49" s="16" t="s">
        <v>26</v>
      </c>
      <c r="D49" s="16" t="s">
        <v>8</v>
      </c>
      <c r="E49" s="17" t="n">
        <v>30.075</v>
      </c>
    </row>
    <row r="50" customFormat="false" ht="15" hidden="false" customHeight="false" outlineLevel="0" collapsed="false">
      <c r="A50" s="16" t="s">
        <v>3</v>
      </c>
      <c r="B50" s="16" t="s">
        <v>75</v>
      </c>
      <c r="C50" s="16" t="s">
        <v>26</v>
      </c>
      <c r="D50" s="16" t="s">
        <v>9</v>
      </c>
      <c r="E50" s="17" t="n">
        <v>29.404</v>
      </c>
    </row>
    <row r="51" customFormat="false" ht="15" hidden="false" customHeight="false" outlineLevel="0" collapsed="false">
      <c r="A51" s="16" t="s">
        <v>3</v>
      </c>
      <c r="B51" s="16" t="s">
        <v>75</v>
      </c>
      <c r="C51" s="16" t="s">
        <v>26</v>
      </c>
      <c r="D51" s="16" t="s">
        <v>10</v>
      </c>
      <c r="E51" s="17" t="n">
        <v>31.551</v>
      </c>
    </row>
    <row r="52" customFormat="false" ht="15" hidden="false" customHeight="false" outlineLevel="0" collapsed="false">
      <c r="A52" s="16" t="s">
        <v>3</v>
      </c>
      <c r="B52" s="16" t="s">
        <v>75</v>
      </c>
      <c r="C52" s="16" t="s">
        <v>26</v>
      </c>
      <c r="D52" s="16" t="s">
        <v>11</v>
      </c>
      <c r="E52" s="17" t="n">
        <v>27.038</v>
      </c>
    </row>
    <row r="53" customFormat="false" ht="15" hidden="false" customHeight="false" outlineLevel="0" collapsed="false">
      <c r="A53" s="16" t="s">
        <v>3</v>
      </c>
      <c r="B53" s="16" t="s">
        <v>75</v>
      </c>
      <c r="C53" s="16" t="s">
        <v>27</v>
      </c>
      <c r="D53" s="16" t="s">
        <v>8</v>
      </c>
      <c r="E53" s="17" t="n">
        <v>208.855</v>
      </c>
    </row>
    <row r="54" customFormat="false" ht="15" hidden="false" customHeight="false" outlineLevel="0" collapsed="false">
      <c r="A54" s="16" t="s">
        <v>3</v>
      </c>
      <c r="B54" s="16" t="s">
        <v>75</v>
      </c>
      <c r="C54" s="16" t="s">
        <v>27</v>
      </c>
      <c r="D54" s="16" t="s">
        <v>9</v>
      </c>
      <c r="E54" s="17" t="n">
        <v>208.206</v>
      </c>
    </row>
    <row r="55" customFormat="false" ht="15" hidden="false" customHeight="false" outlineLevel="0" collapsed="false">
      <c r="A55" s="16" t="s">
        <v>3</v>
      </c>
      <c r="B55" s="16" t="s">
        <v>75</v>
      </c>
      <c r="C55" s="16" t="s">
        <v>27</v>
      </c>
      <c r="D55" s="16" t="s">
        <v>10</v>
      </c>
      <c r="E55" s="17" t="n">
        <v>207.761</v>
      </c>
    </row>
    <row r="56" customFormat="false" ht="15" hidden="false" customHeight="false" outlineLevel="0" collapsed="false">
      <c r="A56" s="16" t="s">
        <v>3</v>
      </c>
      <c r="B56" s="16" t="s">
        <v>75</v>
      </c>
      <c r="C56" s="16" t="s">
        <v>27</v>
      </c>
      <c r="D56" s="16" t="s">
        <v>11</v>
      </c>
      <c r="E56" s="17" t="n">
        <v>194.832</v>
      </c>
    </row>
    <row r="57" customFormat="false" ht="15" hidden="false" customHeight="false" outlineLevel="0" collapsed="false">
      <c r="A57" s="16" t="s">
        <v>3</v>
      </c>
      <c r="B57" s="16" t="s">
        <v>75</v>
      </c>
      <c r="C57" s="16" t="s">
        <v>28</v>
      </c>
      <c r="D57" s="16" t="s">
        <v>8</v>
      </c>
      <c r="E57" s="17" t="n">
        <v>115.254</v>
      </c>
    </row>
    <row r="58" customFormat="false" ht="15" hidden="false" customHeight="false" outlineLevel="0" collapsed="false">
      <c r="A58" s="16" t="s">
        <v>3</v>
      </c>
      <c r="B58" s="16" t="s">
        <v>75</v>
      </c>
      <c r="C58" s="16" t="s">
        <v>28</v>
      </c>
      <c r="D58" s="16" t="s">
        <v>9</v>
      </c>
      <c r="E58" s="17" t="n">
        <v>109.732</v>
      </c>
    </row>
    <row r="59" customFormat="false" ht="15" hidden="false" customHeight="false" outlineLevel="0" collapsed="false">
      <c r="A59" s="16" t="s">
        <v>3</v>
      </c>
      <c r="B59" s="16" t="s">
        <v>75</v>
      </c>
      <c r="C59" s="16" t="s">
        <v>28</v>
      </c>
      <c r="D59" s="16" t="s">
        <v>10</v>
      </c>
      <c r="E59" s="17" t="n">
        <v>116.828</v>
      </c>
    </row>
    <row r="60" customFormat="false" ht="15" hidden="false" customHeight="false" outlineLevel="0" collapsed="false">
      <c r="A60" s="16" t="s">
        <v>3</v>
      </c>
      <c r="B60" s="16" t="s">
        <v>75</v>
      </c>
      <c r="C60" s="16" t="s">
        <v>28</v>
      </c>
      <c r="D60" s="16" t="s">
        <v>11</v>
      </c>
      <c r="E60" s="17" t="n">
        <v>113.499</v>
      </c>
    </row>
    <row r="61" customFormat="false" ht="15" hidden="false" customHeight="false" outlineLevel="0" collapsed="false">
      <c r="A61" s="16" t="s">
        <v>3</v>
      </c>
      <c r="B61" s="16" t="s">
        <v>76</v>
      </c>
      <c r="C61" s="16" t="s">
        <v>13</v>
      </c>
      <c r="D61" s="16" t="s">
        <v>8</v>
      </c>
      <c r="E61" s="17" t="n">
        <v>105.318</v>
      </c>
    </row>
    <row r="62" customFormat="false" ht="15" hidden="false" customHeight="false" outlineLevel="0" collapsed="false">
      <c r="A62" s="16" t="s">
        <v>3</v>
      </c>
      <c r="B62" s="16" t="s">
        <v>76</v>
      </c>
      <c r="C62" s="16" t="s">
        <v>13</v>
      </c>
      <c r="D62" s="16" t="s">
        <v>9</v>
      </c>
      <c r="E62" s="17" t="n">
        <v>104.167</v>
      </c>
    </row>
    <row r="63" customFormat="false" ht="15" hidden="false" customHeight="false" outlineLevel="0" collapsed="false">
      <c r="A63" s="16" t="s">
        <v>3</v>
      </c>
      <c r="B63" s="16" t="s">
        <v>76</v>
      </c>
      <c r="C63" s="16" t="s">
        <v>13</v>
      </c>
      <c r="D63" s="16" t="s">
        <v>10</v>
      </c>
      <c r="E63" s="17" t="n">
        <v>103.609</v>
      </c>
    </row>
    <row r="64" customFormat="false" ht="15" hidden="false" customHeight="false" outlineLevel="0" collapsed="false">
      <c r="A64" s="16" t="s">
        <v>3</v>
      </c>
      <c r="B64" s="16" t="s">
        <v>76</v>
      </c>
      <c r="C64" s="16" t="s">
        <v>13</v>
      </c>
      <c r="D64" s="16" t="s">
        <v>11</v>
      </c>
      <c r="E64" s="17" t="n">
        <v>99.818</v>
      </c>
    </row>
    <row r="65" customFormat="false" ht="15" hidden="false" customHeight="false" outlineLevel="0" collapsed="false">
      <c r="A65" s="16" t="s">
        <v>3</v>
      </c>
      <c r="B65" s="16" t="s">
        <v>76</v>
      </c>
      <c r="C65" s="16" t="s">
        <v>15</v>
      </c>
      <c r="D65" s="16" t="s">
        <v>8</v>
      </c>
      <c r="E65" s="17" t="n">
        <v>1154.146</v>
      </c>
    </row>
    <row r="66" customFormat="false" ht="15" hidden="false" customHeight="false" outlineLevel="0" collapsed="false">
      <c r="A66" s="16" t="s">
        <v>3</v>
      </c>
      <c r="B66" s="16" t="s">
        <v>76</v>
      </c>
      <c r="C66" s="16" t="s">
        <v>15</v>
      </c>
      <c r="D66" s="16" t="s">
        <v>9</v>
      </c>
      <c r="E66" s="17" t="n">
        <v>1143.295</v>
      </c>
    </row>
    <row r="67" customFormat="false" ht="15" hidden="false" customHeight="false" outlineLevel="0" collapsed="false">
      <c r="A67" s="16" t="s">
        <v>3</v>
      </c>
      <c r="B67" s="16" t="s">
        <v>76</v>
      </c>
      <c r="C67" s="16" t="s">
        <v>15</v>
      </c>
      <c r="D67" s="16" t="s">
        <v>10</v>
      </c>
      <c r="E67" s="17" t="n">
        <v>1133.866</v>
      </c>
    </row>
    <row r="68" customFormat="false" ht="15" hidden="false" customHeight="false" outlineLevel="0" collapsed="false">
      <c r="A68" s="16" t="s">
        <v>3</v>
      </c>
      <c r="B68" s="16" t="s">
        <v>76</v>
      </c>
      <c r="C68" s="16" t="s">
        <v>15</v>
      </c>
      <c r="D68" s="16" t="s">
        <v>11</v>
      </c>
      <c r="E68" s="17" t="n">
        <v>1044.94</v>
      </c>
    </row>
    <row r="69" customFormat="false" ht="15" hidden="false" customHeight="false" outlineLevel="0" collapsed="false">
      <c r="A69" s="16" t="s">
        <v>3</v>
      </c>
      <c r="B69" s="16" t="s">
        <v>76</v>
      </c>
      <c r="C69" s="16" t="s">
        <v>16</v>
      </c>
      <c r="D69" s="16" t="s">
        <v>8</v>
      </c>
      <c r="E69" s="17" t="n">
        <v>586.448</v>
      </c>
    </row>
    <row r="70" customFormat="false" ht="15" hidden="false" customHeight="false" outlineLevel="0" collapsed="false">
      <c r="A70" s="16" t="s">
        <v>3</v>
      </c>
      <c r="B70" s="16" t="s">
        <v>76</v>
      </c>
      <c r="C70" s="16" t="s">
        <v>16</v>
      </c>
      <c r="D70" s="16" t="s">
        <v>9</v>
      </c>
      <c r="E70" s="17" t="n">
        <v>582.238</v>
      </c>
    </row>
    <row r="71" customFormat="false" ht="15" hidden="false" customHeight="false" outlineLevel="0" collapsed="false">
      <c r="A71" s="16" t="s">
        <v>3</v>
      </c>
      <c r="B71" s="16" t="s">
        <v>76</v>
      </c>
      <c r="C71" s="16" t="s">
        <v>16</v>
      </c>
      <c r="D71" s="16" t="s">
        <v>10</v>
      </c>
      <c r="E71" s="17" t="n">
        <v>577.673</v>
      </c>
    </row>
    <row r="72" customFormat="false" ht="15" hidden="false" customHeight="false" outlineLevel="0" collapsed="false">
      <c r="A72" s="16" t="s">
        <v>3</v>
      </c>
      <c r="B72" s="16" t="s">
        <v>76</v>
      </c>
      <c r="C72" s="16" t="s">
        <v>16</v>
      </c>
      <c r="D72" s="16" t="s">
        <v>11</v>
      </c>
      <c r="E72" s="17" t="n">
        <v>513.255</v>
      </c>
    </row>
    <row r="73" customFormat="false" ht="15" hidden="false" customHeight="false" outlineLevel="0" collapsed="false">
      <c r="A73" s="16" t="s">
        <v>3</v>
      </c>
      <c r="B73" s="16" t="s">
        <v>76</v>
      </c>
      <c r="C73" s="16" t="s">
        <v>18</v>
      </c>
      <c r="D73" s="16" t="s">
        <v>8</v>
      </c>
      <c r="E73" s="17" t="n">
        <v>567.698</v>
      </c>
    </row>
    <row r="74" customFormat="false" ht="15" hidden="false" customHeight="false" outlineLevel="0" collapsed="false">
      <c r="A74" s="16" t="s">
        <v>3</v>
      </c>
      <c r="B74" s="16" t="s">
        <v>76</v>
      </c>
      <c r="C74" s="16" t="s">
        <v>18</v>
      </c>
      <c r="D74" s="16" t="s">
        <v>9</v>
      </c>
      <c r="E74" s="17" t="n">
        <v>561.058</v>
      </c>
    </row>
    <row r="75" customFormat="false" ht="15" hidden="false" customHeight="false" outlineLevel="0" collapsed="false">
      <c r="A75" s="16" t="s">
        <v>3</v>
      </c>
      <c r="B75" s="16" t="s">
        <v>76</v>
      </c>
      <c r="C75" s="16" t="s">
        <v>18</v>
      </c>
      <c r="D75" s="16" t="s">
        <v>10</v>
      </c>
      <c r="E75" s="17" t="n">
        <v>556.194</v>
      </c>
    </row>
    <row r="76" customFormat="false" ht="15" hidden="false" customHeight="false" outlineLevel="0" collapsed="false">
      <c r="A76" s="16" t="s">
        <v>3</v>
      </c>
      <c r="B76" s="16" t="s">
        <v>76</v>
      </c>
      <c r="C76" s="16" t="s">
        <v>18</v>
      </c>
      <c r="D76" s="16" t="s">
        <v>11</v>
      </c>
      <c r="E76" s="17" t="n">
        <v>531.686</v>
      </c>
    </row>
    <row r="77" customFormat="false" ht="15" hidden="false" customHeight="false" outlineLevel="0" collapsed="false">
      <c r="A77" s="16" t="s">
        <v>3</v>
      </c>
      <c r="B77" s="16" t="s">
        <v>76</v>
      </c>
      <c r="C77" s="16" t="s">
        <v>19</v>
      </c>
      <c r="D77" s="16" t="s">
        <v>8</v>
      </c>
      <c r="E77" s="17" t="n">
        <v>352.006</v>
      </c>
    </row>
    <row r="78" customFormat="false" ht="15" hidden="false" customHeight="false" outlineLevel="0" collapsed="false">
      <c r="A78" s="16" t="s">
        <v>3</v>
      </c>
      <c r="B78" s="16" t="s">
        <v>76</v>
      </c>
      <c r="C78" s="16" t="s">
        <v>19</v>
      </c>
      <c r="D78" s="16" t="s">
        <v>9</v>
      </c>
      <c r="E78" s="17" t="n">
        <v>350.473</v>
      </c>
    </row>
    <row r="79" customFormat="false" ht="15" hidden="false" customHeight="false" outlineLevel="0" collapsed="false">
      <c r="A79" s="16" t="s">
        <v>3</v>
      </c>
      <c r="B79" s="16" t="s">
        <v>76</v>
      </c>
      <c r="C79" s="16" t="s">
        <v>19</v>
      </c>
      <c r="D79" s="16" t="s">
        <v>10</v>
      </c>
      <c r="E79" s="17" t="n">
        <v>344.232</v>
      </c>
    </row>
    <row r="80" customFormat="false" ht="15" hidden="false" customHeight="false" outlineLevel="0" collapsed="false">
      <c r="A80" s="16" t="s">
        <v>3</v>
      </c>
      <c r="B80" s="16" t="s">
        <v>76</v>
      </c>
      <c r="C80" s="16" t="s">
        <v>19</v>
      </c>
      <c r="D80" s="16" t="s">
        <v>11</v>
      </c>
      <c r="E80" s="17" t="n">
        <v>330.65</v>
      </c>
    </row>
    <row r="81" customFormat="false" ht="15" hidden="false" customHeight="false" outlineLevel="0" collapsed="false">
      <c r="A81" s="16" t="s">
        <v>3</v>
      </c>
      <c r="B81" s="16" t="s">
        <v>76</v>
      </c>
      <c r="C81" s="16" t="s">
        <v>20</v>
      </c>
      <c r="D81" s="16" t="s">
        <v>8</v>
      </c>
      <c r="E81" s="17" t="n">
        <v>215.691</v>
      </c>
    </row>
    <row r="82" customFormat="false" ht="15" hidden="false" customHeight="false" outlineLevel="0" collapsed="false">
      <c r="A82" s="16" t="s">
        <v>3</v>
      </c>
      <c r="B82" s="16" t="s">
        <v>76</v>
      </c>
      <c r="C82" s="16" t="s">
        <v>20</v>
      </c>
      <c r="D82" s="16" t="s">
        <v>9</v>
      </c>
      <c r="E82" s="17" t="n">
        <v>210.585</v>
      </c>
    </row>
    <row r="83" customFormat="false" ht="15" hidden="false" customHeight="false" outlineLevel="0" collapsed="false">
      <c r="A83" s="16" t="s">
        <v>3</v>
      </c>
      <c r="B83" s="16" t="s">
        <v>76</v>
      </c>
      <c r="C83" s="16" t="s">
        <v>20</v>
      </c>
      <c r="D83" s="16" t="s">
        <v>10</v>
      </c>
      <c r="E83" s="17" t="n">
        <v>211.962</v>
      </c>
    </row>
    <row r="84" customFormat="false" ht="15" hidden="false" customHeight="false" outlineLevel="0" collapsed="false">
      <c r="A84" s="16" t="s">
        <v>3</v>
      </c>
      <c r="B84" s="16" t="s">
        <v>76</v>
      </c>
      <c r="C84" s="16" t="s">
        <v>20</v>
      </c>
      <c r="D84" s="16" t="s">
        <v>11</v>
      </c>
      <c r="E84" s="17" t="n">
        <v>201.036</v>
      </c>
    </row>
    <row r="85" customFormat="false" ht="15" hidden="false" customHeight="false" outlineLevel="0" collapsed="false">
      <c r="A85" s="16" t="s">
        <v>3</v>
      </c>
      <c r="B85" s="16" t="s">
        <v>76</v>
      </c>
      <c r="C85" s="16" t="s">
        <v>21</v>
      </c>
      <c r="D85" s="16" t="s">
        <v>8</v>
      </c>
      <c r="E85" s="17" t="n">
        <v>8.312</v>
      </c>
    </row>
    <row r="86" customFormat="false" ht="15" hidden="false" customHeight="false" outlineLevel="0" collapsed="false">
      <c r="A86" s="16" t="s">
        <v>3</v>
      </c>
      <c r="B86" s="16" t="s">
        <v>76</v>
      </c>
      <c r="C86" s="16" t="s">
        <v>21</v>
      </c>
      <c r="D86" s="16" t="s">
        <v>9</v>
      </c>
      <c r="E86" s="17" t="n">
        <v>7.677</v>
      </c>
    </row>
    <row r="87" customFormat="false" ht="15" hidden="false" customHeight="false" outlineLevel="0" collapsed="false">
      <c r="A87" s="16" t="s">
        <v>3</v>
      </c>
      <c r="B87" s="16" t="s">
        <v>76</v>
      </c>
      <c r="C87" s="16" t="s">
        <v>21</v>
      </c>
      <c r="D87" s="16" t="s">
        <v>10</v>
      </c>
      <c r="E87" s="17" t="n">
        <v>7.928</v>
      </c>
    </row>
    <row r="88" customFormat="false" ht="15" hidden="false" customHeight="false" outlineLevel="0" collapsed="false">
      <c r="A88" s="16" t="s">
        <v>3</v>
      </c>
      <c r="B88" s="16" t="s">
        <v>76</v>
      </c>
      <c r="C88" s="16" t="s">
        <v>21</v>
      </c>
      <c r="D88" s="16" t="s">
        <v>11</v>
      </c>
      <c r="E88" s="17" t="n">
        <v>7.192</v>
      </c>
    </row>
    <row r="89" customFormat="false" ht="15" hidden="false" customHeight="false" outlineLevel="0" collapsed="false">
      <c r="A89" s="16" t="s">
        <v>3</v>
      </c>
      <c r="B89" s="16" t="s">
        <v>76</v>
      </c>
      <c r="C89" s="16" t="s">
        <v>22</v>
      </c>
      <c r="D89" s="16" t="s">
        <v>8</v>
      </c>
      <c r="E89" s="17" t="n">
        <v>33.33</v>
      </c>
    </row>
    <row r="90" customFormat="false" ht="15" hidden="false" customHeight="false" outlineLevel="0" collapsed="false">
      <c r="A90" s="16" t="s">
        <v>3</v>
      </c>
      <c r="B90" s="16" t="s">
        <v>76</v>
      </c>
      <c r="C90" s="16" t="s">
        <v>22</v>
      </c>
      <c r="D90" s="16" t="s">
        <v>9</v>
      </c>
      <c r="E90" s="17" t="n">
        <v>33.035</v>
      </c>
    </row>
    <row r="91" customFormat="false" ht="15" hidden="false" customHeight="false" outlineLevel="0" collapsed="false">
      <c r="A91" s="16" t="s">
        <v>3</v>
      </c>
      <c r="B91" s="16" t="s">
        <v>76</v>
      </c>
      <c r="C91" s="16" t="s">
        <v>22</v>
      </c>
      <c r="D91" s="16" t="s">
        <v>10</v>
      </c>
      <c r="E91" s="17" t="n">
        <v>33.434</v>
      </c>
    </row>
    <row r="92" customFormat="false" ht="15" hidden="false" customHeight="false" outlineLevel="0" collapsed="false">
      <c r="A92" s="16" t="s">
        <v>3</v>
      </c>
      <c r="B92" s="16" t="s">
        <v>76</v>
      </c>
      <c r="C92" s="16" t="s">
        <v>22</v>
      </c>
      <c r="D92" s="16" t="s">
        <v>11</v>
      </c>
      <c r="E92" s="17" t="n">
        <v>32.708</v>
      </c>
    </row>
    <row r="93" customFormat="false" ht="15" hidden="false" customHeight="false" outlineLevel="0" collapsed="false">
      <c r="A93" s="16" t="s">
        <v>3</v>
      </c>
      <c r="B93" s="16" t="s">
        <v>76</v>
      </c>
      <c r="C93" s="16" t="s">
        <v>23</v>
      </c>
      <c r="D93" s="16" t="s">
        <v>8</v>
      </c>
      <c r="E93" s="17" t="n">
        <v>6.336</v>
      </c>
    </row>
    <row r="94" customFormat="false" ht="15" hidden="false" customHeight="false" outlineLevel="0" collapsed="false">
      <c r="A94" s="16" t="s">
        <v>3</v>
      </c>
      <c r="B94" s="16" t="s">
        <v>76</v>
      </c>
      <c r="C94" s="16" t="s">
        <v>23</v>
      </c>
      <c r="D94" s="16" t="s">
        <v>9</v>
      </c>
      <c r="E94" s="17" t="n">
        <v>6.571</v>
      </c>
    </row>
    <row r="95" customFormat="false" ht="15" hidden="false" customHeight="false" outlineLevel="0" collapsed="false">
      <c r="A95" s="16" t="s">
        <v>3</v>
      </c>
      <c r="B95" s="16" t="s">
        <v>76</v>
      </c>
      <c r="C95" s="16" t="s">
        <v>23</v>
      </c>
      <c r="D95" s="16" t="s">
        <v>10</v>
      </c>
      <c r="E95" s="17" t="n">
        <v>7.102</v>
      </c>
    </row>
    <row r="96" customFormat="false" ht="15" hidden="false" customHeight="false" outlineLevel="0" collapsed="false">
      <c r="A96" s="16" t="s">
        <v>3</v>
      </c>
      <c r="B96" s="16" t="s">
        <v>76</v>
      </c>
      <c r="C96" s="16" t="s">
        <v>23</v>
      </c>
      <c r="D96" s="16" t="s">
        <v>11</v>
      </c>
      <c r="E96" s="17" t="n">
        <v>5.676</v>
      </c>
    </row>
    <row r="97" customFormat="false" ht="15" hidden="false" customHeight="false" outlineLevel="0" collapsed="false">
      <c r="A97" s="16" t="s">
        <v>3</v>
      </c>
      <c r="B97" s="16" t="s">
        <v>76</v>
      </c>
      <c r="C97" s="16" t="s">
        <v>24</v>
      </c>
      <c r="D97" s="16" t="s">
        <v>8</v>
      </c>
      <c r="E97" s="17" t="n">
        <v>20.434</v>
      </c>
    </row>
    <row r="98" customFormat="false" ht="15" hidden="false" customHeight="false" outlineLevel="0" collapsed="false">
      <c r="A98" s="16" t="s">
        <v>3</v>
      </c>
      <c r="B98" s="16" t="s">
        <v>76</v>
      </c>
      <c r="C98" s="16" t="s">
        <v>24</v>
      </c>
      <c r="D98" s="16" t="s">
        <v>9</v>
      </c>
      <c r="E98" s="17" t="n">
        <v>20.37</v>
      </c>
    </row>
    <row r="99" customFormat="false" ht="15" hidden="false" customHeight="false" outlineLevel="0" collapsed="false">
      <c r="A99" s="16" t="s">
        <v>3</v>
      </c>
      <c r="B99" s="16" t="s">
        <v>76</v>
      </c>
      <c r="C99" s="16" t="s">
        <v>24</v>
      </c>
      <c r="D99" s="16" t="s">
        <v>10</v>
      </c>
      <c r="E99" s="17" t="n">
        <v>20.769</v>
      </c>
    </row>
    <row r="100" customFormat="false" ht="15" hidden="false" customHeight="false" outlineLevel="0" collapsed="false">
      <c r="A100" s="16" t="s">
        <v>3</v>
      </c>
      <c r="B100" s="16" t="s">
        <v>76</v>
      </c>
      <c r="C100" s="16" t="s">
        <v>24</v>
      </c>
      <c r="D100" s="16" t="s">
        <v>11</v>
      </c>
      <c r="E100" s="17" t="n">
        <v>18.722</v>
      </c>
    </row>
    <row r="101" customFormat="false" ht="15" hidden="false" customHeight="false" outlineLevel="0" collapsed="false">
      <c r="A101" s="16" t="s">
        <v>3</v>
      </c>
      <c r="B101" s="16" t="s">
        <v>76</v>
      </c>
      <c r="C101" s="16" t="s">
        <v>25</v>
      </c>
      <c r="D101" s="16" t="s">
        <v>8</v>
      </c>
      <c r="E101" s="17" t="n">
        <v>18.964</v>
      </c>
    </row>
    <row r="102" customFormat="false" ht="15" hidden="false" customHeight="false" outlineLevel="0" collapsed="false">
      <c r="A102" s="16" t="s">
        <v>3</v>
      </c>
      <c r="B102" s="16" t="s">
        <v>76</v>
      </c>
      <c r="C102" s="16" t="s">
        <v>25</v>
      </c>
      <c r="D102" s="16" t="s">
        <v>9</v>
      </c>
      <c r="E102" s="17" t="n">
        <v>18.957</v>
      </c>
    </row>
    <row r="103" customFormat="false" ht="15" hidden="false" customHeight="false" outlineLevel="0" collapsed="false">
      <c r="A103" s="16" t="s">
        <v>3</v>
      </c>
      <c r="B103" s="16" t="s">
        <v>76</v>
      </c>
      <c r="C103" s="16" t="s">
        <v>25</v>
      </c>
      <c r="D103" s="16" t="s">
        <v>10</v>
      </c>
      <c r="E103" s="17" t="n">
        <v>18.723</v>
      </c>
    </row>
    <row r="104" customFormat="false" ht="15" hidden="false" customHeight="false" outlineLevel="0" collapsed="false">
      <c r="A104" s="16" t="s">
        <v>3</v>
      </c>
      <c r="B104" s="16" t="s">
        <v>76</v>
      </c>
      <c r="C104" s="16" t="s">
        <v>25</v>
      </c>
      <c r="D104" s="16" t="s">
        <v>11</v>
      </c>
      <c r="E104" s="17" t="n">
        <v>17.841</v>
      </c>
    </row>
    <row r="105" customFormat="false" ht="15" hidden="false" customHeight="false" outlineLevel="0" collapsed="false">
      <c r="A105" s="16" t="s">
        <v>3</v>
      </c>
      <c r="B105" s="16" t="s">
        <v>76</v>
      </c>
      <c r="C105" s="16" t="s">
        <v>26</v>
      </c>
      <c r="D105" s="16" t="s">
        <v>8</v>
      </c>
      <c r="E105" s="17" t="n">
        <v>18.34</v>
      </c>
    </row>
    <row r="106" customFormat="false" ht="15" hidden="false" customHeight="false" outlineLevel="0" collapsed="false">
      <c r="A106" s="16" t="s">
        <v>3</v>
      </c>
      <c r="B106" s="16" t="s">
        <v>76</v>
      </c>
      <c r="C106" s="16" t="s">
        <v>26</v>
      </c>
      <c r="D106" s="16" t="s">
        <v>9</v>
      </c>
      <c r="E106" s="17" t="n">
        <v>18.155</v>
      </c>
    </row>
    <row r="107" customFormat="false" ht="15" hidden="false" customHeight="false" outlineLevel="0" collapsed="false">
      <c r="A107" s="16" t="s">
        <v>3</v>
      </c>
      <c r="B107" s="16" t="s">
        <v>76</v>
      </c>
      <c r="C107" s="16" t="s">
        <v>26</v>
      </c>
      <c r="D107" s="16" t="s">
        <v>10</v>
      </c>
      <c r="E107" s="17" t="n">
        <v>19.383</v>
      </c>
    </row>
    <row r="108" customFormat="false" ht="15" hidden="false" customHeight="false" outlineLevel="0" collapsed="false">
      <c r="A108" s="16" t="s">
        <v>3</v>
      </c>
      <c r="B108" s="16" t="s">
        <v>76</v>
      </c>
      <c r="C108" s="16" t="s">
        <v>26</v>
      </c>
      <c r="D108" s="16" t="s">
        <v>11</v>
      </c>
      <c r="E108" s="17" t="n">
        <v>16.425</v>
      </c>
    </row>
    <row r="109" customFormat="false" ht="15" hidden="false" customHeight="false" outlineLevel="0" collapsed="false">
      <c r="A109" s="16" t="s">
        <v>3</v>
      </c>
      <c r="B109" s="16" t="s">
        <v>76</v>
      </c>
      <c r="C109" s="16" t="s">
        <v>27</v>
      </c>
      <c r="D109" s="16" t="s">
        <v>8</v>
      </c>
      <c r="E109" s="17" t="n">
        <v>97.405</v>
      </c>
    </row>
    <row r="110" customFormat="false" ht="15" hidden="false" customHeight="false" outlineLevel="0" collapsed="false">
      <c r="A110" s="16" t="s">
        <v>3</v>
      </c>
      <c r="B110" s="16" t="s">
        <v>76</v>
      </c>
      <c r="C110" s="16" t="s">
        <v>27</v>
      </c>
      <c r="D110" s="16" t="s">
        <v>9</v>
      </c>
      <c r="E110" s="17" t="n">
        <v>97.091</v>
      </c>
    </row>
    <row r="111" customFormat="false" ht="15" hidden="false" customHeight="false" outlineLevel="0" collapsed="false">
      <c r="A111" s="16" t="s">
        <v>3</v>
      </c>
      <c r="B111" s="16" t="s">
        <v>76</v>
      </c>
      <c r="C111" s="16" t="s">
        <v>27</v>
      </c>
      <c r="D111" s="16" t="s">
        <v>10</v>
      </c>
      <c r="E111" s="17" t="n">
        <v>99.41</v>
      </c>
    </row>
    <row r="112" customFormat="false" ht="15" hidden="false" customHeight="false" outlineLevel="0" collapsed="false">
      <c r="A112" s="16" t="s">
        <v>3</v>
      </c>
      <c r="B112" s="16" t="s">
        <v>76</v>
      </c>
      <c r="C112" s="16" t="s">
        <v>27</v>
      </c>
      <c r="D112" s="16" t="s">
        <v>11</v>
      </c>
      <c r="E112" s="17" t="n">
        <v>91.411</v>
      </c>
    </row>
    <row r="113" customFormat="false" ht="15" hidden="false" customHeight="false" outlineLevel="0" collapsed="false">
      <c r="A113" s="16" t="s">
        <v>3</v>
      </c>
      <c r="B113" s="16" t="s">
        <v>76</v>
      </c>
      <c r="C113" s="16" t="s">
        <v>28</v>
      </c>
      <c r="D113" s="16" t="s">
        <v>8</v>
      </c>
      <c r="E113" s="17" t="n">
        <v>109.974</v>
      </c>
    </row>
    <row r="114" customFormat="false" ht="15" hidden="false" customHeight="false" outlineLevel="0" collapsed="false">
      <c r="A114" s="16" t="s">
        <v>3</v>
      </c>
      <c r="B114" s="16" t="s">
        <v>76</v>
      </c>
      <c r="C114" s="16" t="s">
        <v>28</v>
      </c>
      <c r="D114" s="16" t="s">
        <v>9</v>
      </c>
      <c r="E114" s="17" t="n">
        <v>105.817</v>
      </c>
    </row>
    <row r="115" customFormat="false" ht="15" hidden="false" customHeight="false" outlineLevel="0" collapsed="false">
      <c r="A115" s="16" t="s">
        <v>3</v>
      </c>
      <c r="B115" s="16" t="s">
        <v>76</v>
      </c>
      <c r="C115" s="16" t="s">
        <v>28</v>
      </c>
      <c r="D115" s="16" t="s">
        <v>10</v>
      </c>
      <c r="E115" s="17" t="n">
        <v>104.624</v>
      </c>
    </row>
    <row r="116" customFormat="false" ht="15" hidden="false" customHeight="false" outlineLevel="0" collapsed="false">
      <c r="A116" s="16" t="s">
        <v>3</v>
      </c>
      <c r="B116" s="16" t="s">
        <v>76</v>
      </c>
      <c r="C116" s="16" t="s">
        <v>28</v>
      </c>
      <c r="D116" s="16" t="s">
        <v>11</v>
      </c>
      <c r="E116" s="17" t="n">
        <v>102.433</v>
      </c>
    </row>
    <row r="117" customFormat="false" ht="15" hidden="false" customHeight="false" outlineLevel="0" collapsed="false">
      <c r="A117" s="16" t="s">
        <v>3</v>
      </c>
      <c r="B117" s="16" t="s">
        <v>5</v>
      </c>
      <c r="C117" s="16" t="s">
        <v>13</v>
      </c>
      <c r="D117" s="16" t="s">
        <v>8</v>
      </c>
      <c r="E117" s="17" t="n">
        <v>62.155</v>
      </c>
    </row>
    <row r="118" customFormat="false" ht="15" hidden="false" customHeight="false" outlineLevel="0" collapsed="false">
      <c r="A118" s="16" t="s">
        <v>3</v>
      </c>
      <c r="B118" s="16" t="s">
        <v>5</v>
      </c>
      <c r="C118" s="16" t="s">
        <v>13</v>
      </c>
      <c r="D118" s="16" t="s">
        <v>9</v>
      </c>
      <c r="E118" s="17" t="n">
        <v>62.195</v>
      </c>
    </row>
    <row r="119" customFormat="false" ht="15" hidden="false" customHeight="false" outlineLevel="0" collapsed="false">
      <c r="A119" s="16" t="s">
        <v>3</v>
      </c>
      <c r="B119" s="16" t="s">
        <v>5</v>
      </c>
      <c r="C119" s="16" t="s">
        <v>13</v>
      </c>
      <c r="D119" s="16" t="s">
        <v>10</v>
      </c>
      <c r="E119" s="17" t="n">
        <v>61.519</v>
      </c>
    </row>
    <row r="120" customFormat="false" ht="15" hidden="false" customHeight="false" outlineLevel="0" collapsed="false">
      <c r="A120" s="16" t="s">
        <v>3</v>
      </c>
      <c r="B120" s="16" t="s">
        <v>5</v>
      </c>
      <c r="C120" s="16" t="s">
        <v>13</v>
      </c>
      <c r="D120" s="16" t="s">
        <v>11</v>
      </c>
      <c r="E120" s="17" t="n">
        <v>57.624</v>
      </c>
    </row>
    <row r="121" customFormat="false" ht="15" hidden="false" customHeight="false" outlineLevel="0" collapsed="false">
      <c r="A121" s="16" t="s">
        <v>3</v>
      </c>
      <c r="B121" s="16" t="s">
        <v>5</v>
      </c>
      <c r="C121" s="16" t="s">
        <v>15</v>
      </c>
      <c r="D121" s="16" t="s">
        <v>8</v>
      </c>
      <c r="E121" s="17" t="n">
        <v>507.138</v>
      </c>
    </row>
    <row r="122" customFormat="false" ht="15" hidden="false" customHeight="false" outlineLevel="0" collapsed="false">
      <c r="A122" s="16" t="s">
        <v>3</v>
      </c>
      <c r="B122" s="16" t="s">
        <v>5</v>
      </c>
      <c r="C122" s="16" t="s">
        <v>15</v>
      </c>
      <c r="D122" s="16" t="s">
        <v>9</v>
      </c>
      <c r="E122" s="17" t="n">
        <v>508.119</v>
      </c>
    </row>
    <row r="123" customFormat="false" ht="15" hidden="false" customHeight="false" outlineLevel="0" collapsed="false">
      <c r="A123" s="16" t="s">
        <v>3</v>
      </c>
      <c r="B123" s="16" t="s">
        <v>5</v>
      </c>
      <c r="C123" s="16" t="s">
        <v>15</v>
      </c>
      <c r="D123" s="16" t="s">
        <v>10</v>
      </c>
      <c r="E123" s="17" t="n">
        <v>502.777</v>
      </c>
    </row>
    <row r="124" customFormat="false" ht="15" hidden="false" customHeight="false" outlineLevel="0" collapsed="false">
      <c r="A124" s="16" t="s">
        <v>3</v>
      </c>
      <c r="B124" s="16" t="s">
        <v>5</v>
      </c>
      <c r="C124" s="16" t="s">
        <v>15</v>
      </c>
      <c r="D124" s="16" t="s">
        <v>11</v>
      </c>
      <c r="E124" s="17" t="n">
        <v>465.569</v>
      </c>
    </row>
    <row r="125" customFormat="false" ht="15" hidden="false" customHeight="false" outlineLevel="0" collapsed="false">
      <c r="A125" s="16" t="s">
        <v>3</v>
      </c>
      <c r="B125" s="16" t="s">
        <v>5</v>
      </c>
      <c r="C125" s="16" t="s">
        <v>16</v>
      </c>
      <c r="D125" s="16" t="s">
        <v>8</v>
      </c>
      <c r="E125" s="17" t="n">
        <v>173.694</v>
      </c>
    </row>
    <row r="126" customFormat="false" ht="15" hidden="false" customHeight="false" outlineLevel="0" collapsed="false">
      <c r="A126" s="16" t="s">
        <v>3</v>
      </c>
      <c r="B126" s="16" t="s">
        <v>5</v>
      </c>
      <c r="C126" s="16" t="s">
        <v>16</v>
      </c>
      <c r="D126" s="16" t="s">
        <v>9</v>
      </c>
      <c r="E126" s="17" t="n">
        <v>174.093</v>
      </c>
    </row>
    <row r="127" customFormat="false" ht="15" hidden="false" customHeight="false" outlineLevel="0" collapsed="false">
      <c r="A127" s="16" t="s">
        <v>3</v>
      </c>
      <c r="B127" s="16" t="s">
        <v>5</v>
      </c>
      <c r="C127" s="16" t="s">
        <v>16</v>
      </c>
      <c r="D127" s="16" t="s">
        <v>10</v>
      </c>
      <c r="E127" s="17" t="n">
        <v>165.849</v>
      </c>
    </row>
    <row r="128" customFormat="false" ht="15" hidden="false" customHeight="false" outlineLevel="0" collapsed="false">
      <c r="A128" s="16" t="s">
        <v>3</v>
      </c>
      <c r="B128" s="16" t="s">
        <v>5</v>
      </c>
      <c r="C128" s="16" t="s">
        <v>16</v>
      </c>
      <c r="D128" s="16" t="s">
        <v>11</v>
      </c>
      <c r="E128" s="17" t="n">
        <v>149.266</v>
      </c>
    </row>
    <row r="129" customFormat="false" ht="15" hidden="false" customHeight="false" outlineLevel="0" collapsed="false">
      <c r="A129" s="16" t="s">
        <v>3</v>
      </c>
      <c r="B129" s="16" t="s">
        <v>5</v>
      </c>
      <c r="C129" s="16" t="s">
        <v>18</v>
      </c>
      <c r="D129" s="16" t="s">
        <v>8</v>
      </c>
      <c r="E129" s="17" t="n">
        <v>333.444</v>
      </c>
    </row>
    <row r="130" customFormat="false" ht="15" hidden="false" customHeight="false" outlineLevel="0" collapsed="false">
      <c r="A130" s="16" t="s">
        <v>3</v>
      </c>
      <c r="B130" s="16" t="s">
        <v>5</v>
      </c>
      <c r="C130" s="16" t="s">
        <v>18</v>
      </c>
      <c r="D130" s="16" t="s">
        <v>9</v>
      </c>
      <c r="E130" s="17" t="n">
        <v>334.026</v>
      </c>
    </row>
    <row r="131" customFormat="false" ht="15" hidden="false" customHeight="false" outlineLevel="0" collapsed="false">
      <c r="A131" s="16" t="s">
        <v>3</v>
      </c>
      <c r="B131" s="16" t="s">
        <v>5</v>
      </c>
      <c r="C131" s="16" t="s">
        <v>18</v>
      </c>
      <c r="D131" s="16" t="s">
        <v>10</v>
      </c>
      <c r="E131" s="17" t="n">
        <v>336.928</v>
      </c>
    </row>
    <row r="132" customFormat="false" ht="15" hidden="false" customHeight="false" outlineLevel="0" collapsed="false">
      <c r="A132" s="16" t="s">
        <v>3</v>
      </c>
      <c r="B132" s="16" t="s">
        <v>5</v>
      </c>
      <c r="C132" s="16" t="s">
        <v>18</v>
      </c>
      <c r="D132" s="16" t="s">
        <v>11</v>
      </c>
      <c r="E132" s="17" t="n">
        <v>316.303</v>
      </c>
    </row>
    <row r="133" customFormat="false" ht="15" hidden="false" customHeight="false" outlineLevel="0" collapsed="false">
      <c r="A133" s="16" t="s">
        <v>3</v>
      </c>
      <c r="B133" s="16" t="s">
        <v>5</v>
      </c>
      <c r="C133" s="16" t="s">
        <v>19</v>
      </c>
      <c r="D133" s="16" t="s">
        <v>8</v>
      </c>
      <c r="E133" s="17" t="n">
        <v>216.392</v>
      </c>
    </row>
    <row r="134" customFormat="false" ht="15" hidden="false" customHeight="false" outlineLevel="0" collapsed="false">
      <c r="A134" s="16" t="s">
        <v>3</v>
      </c>
      <c r="B134" s="16" t="s">
        <v>5</v>
      </c>
      <c r="C134" s="16" t="s">
        <v>19</v>
      </c>
      <c r="D134" s="16" t="s">
        <v>9</v>
      </c>
      <c r="E134" s="17" t="n">
        <v>217.443</v>
      </c>
    </row>
    <row r="135" customFormat="false" ht="15" hidden="false" customHeight="false" outlineLevel="0" collapsed="false">
      <c r="A135" s="16" t="s">
        <v>3</v>
      </c>
      <c r="B135" s="16" t="s">
        <v>5</v>
      </c>
      <c r="C135" s="16" t="s">
        <v>19</v>
      </c>
      <c r="D135" s="16" t="s">
        <v>10</v>
      </c>
      <c r="E135" s="17" t="n">
        <v>215.185</v>
      </c>
    </row>
    <row r="136" customFormat="false" ht="15" hidden="false" customHeight="false" outlineLevel="0" collapsed="false">
      <c r="A136" s="16" t="s">
        <v>3</v>
      </c>
      <c r="B136" s="16" t="s">
        <v>5</v>
      </c>
      <c r="C136" s="16" t="s">
        <v>19</v>
      </c>
      <c r="D136" s="16" t="s">
        <v>11</v>
      </c>
      <c r="E136" s="17" t="n">
        <v>202.343</v>
      </c>
    </row>
    <row r="137" customFormat="false" ht="15" hidden="false" customHeight="false" outlineLevel="0" collapsed="false">
      <c r="A137" s="16" t="s">
        <v>3</v>
      </c>
      <c r="B137" s="16" t="s">
        <v>5</v>
      </c>
      <c r="C137" s="16" t="s">
        <v>20</v>
      </c>
      <c r="D137" s="16" t="s">
        <v>8</v>
      </c>
      <c r="E137" s="17" t="n">
        <v>117.051</v>
      </c>
    </row>
    <row r="138" customFormat="false" ht="15" hidden="false" customHeight="false" outlineLevel="0" collapsed="false">
      <c r="A138" s="16" t="s">
        <v>3</v>
      </c>
      <c r="B138" s="16" t="s">
        <v>5</v>
      </c>
      <c r="C138" s="16" t="s">
        <v>20</v>
      </c>
      <c r="D138" s="16" t="s">
        <v>9</v>
      </c>
      <c r="E138" s="17" t="n">
        <v>116.583</v>
      </c>
    </row>
    <row r="139" customFormat="false" ht="15" hidden="false" customHeight="false" outlineLevel="0" collapsed="false">
      <c r="A139" s="16" t="s">
        <v>3</v>
      </c>
      <c r="B139" s="16" t="s">
        <v>5</v>
      </c>
      <c r="C139" s="16" t="s">
        <v>20</v>
      </c>
      <c r="D139" s="16" t="s">
        <v>10</v>
      </c>
      <c r="E139" s="17" t="n">
        <v>121.743</v>
      </c>
    </row>
    <row r="140" customFormat="false" ht="15" hidden="false" customHeight="false" outlineLevel="0" collapsed="false">
      <c r="A140" s="16" t="s">
        <v>3</v>
      </c>
      <c r="B140" s="16" t="s">
        <v>5</v>
      </c>
      <c r="C140" s="16" t="s">
        <v>20</v>
      </c>
      <c r="D140" s="16" t="s">
        <v>11</v>
      </c>
      <c r="E140" s="17" t="n">
        <v>113.96</v>
      </c>
    </row>
    <row r="141" customFormat="false" ht="15" hidden="false" customHeight="false" outlineLevel="0" collapsed="false">
      <c r="A141" s="16" t="s">
        <v>3</v>
      </c>
      <c r="B141" s="16" t="s">
        <v>5</v>
      </c>
      <c r="C141" s="16" t="s">
        <v>21</v>
      </c>
      <c r="D141" s="16" t="s">
        <v>8</v>
      </c>
      <c r="E141" s="17" t="n">
        <v>6.867</v>
      </c>
    </row>
    <row r="142" customFormat="false" ht="15" hidden="false" customHeight="false" outlineLevel="0" collapsed="false">
      <c r="A142" s="16" t="s">
        <v>3</v>
      </c>
      <c r="B142" s="16" t="s">
        <v>5</v>
      </c>
      <c r="C142" s="16" t="s">
        <v>21</v>
      </c>
      <c r="D142" s="16" t="s">
        <v>9</v>
      </c>
      <c r="E142" s="17" t="n">
        <v>7.095</v>
      </c>
    </row>
    <row r="143" customFormat="false" ht="15" hidden="false" customHeight="false" outlineLevel="0" collapsed="false">
      <c r="A143" s="16" t="s">
        <v>3</v>
      </c>
      <c r="B143" s="16" t="s">
        <v>5</v>
      </c>
      <c r="C143" s="16" t="s">
        <v>21</v>
      </c>
      <c r="D143" s="16" t="s">
        <v>10</v>
      </c>
      <c r="E143" s="17" t="n">
        <v>7.451</v>
      </c>
    </row>
    <row r="144" customFormat="false" ht="15" hidden="false" customHeight="false" outlineLevel="0" collapsed="false">
      <c r="A144" s="16" t="s">
        <v>3</v>
      </c>
      <c r="B144" s="16" t="s">
        <v>5</v>
      </c>
      <c r="C144" s="16" t="s">
        <v>21</v>
      </c>
      <c r="D144" s="16" t="s">
        <v>11</v>
      </c>
      <c r="E144" s="17" t="n">
        <v>5.154</v>
      </c>
    </row>
    <row r="145" customFormat="false" ht="15" hidden="false" customHeight="false" outlineLevel="0" collapsed="false">
      <c r="A145" s="16" t="s">
        <v>3</v>
      </c>
      <c r="B145" s="16" t="s">
        <v>5</v>
      </c>
      <c r="C145" s="16" t="s">
        <v>22</v>
      </c>
      <c r="D145" s="16" t="s">
        <v>8</v>
      </c>
      <c r="E145" s="17" t="n">
        <v>60.886</v>
      </c>
    </row>
    <row r="146" customFormat="false" ht="15" hidden="false" customHeight="false" outlineLevel="0" collapsed="false">
      <c r="A146" s="16" t="s">
        <v>3</v>
      </c>
      <c r="B146" s="16" t="s">
        <v>5</v>
      </c>
      <c r="C146" s="16" t="s">
        <v>22</v>
      </c>
      <c r="D146" s="16" t="s">
        <v>9</v>
      </c>
      <c r="E146" s="17" t="n">
        <v>61.088</v>
      </c>
    </row>
    <row r="147" customFormat="false" ht="15" hidden="false" customHeight="false" outlineLevel="0" collapsed="false">
      <c r="A147" s="16" t="s">
        <v>3</v>
      </c>
      <c r="B147" s="16" t="s">
        <v>5</v>
      </c>
      <c r="C147" s="16" t="s">
        <v>22</v>
      </c>
      <c r="D147" s="16" t="s">
        <v>10</v>
      </c>
      <c r="E147" s="17" t="n">
        <v>62.683</v>
      </c>
    </row>
    <row r="148" customFormat="false" ht="15" hidden="false" customHeight="false" outlineLevel="0" collapsed="false">
      <c r="A148" s="16" t="s">
        <v>3</v>
      </c>
      <c r="B148" s="16" t="s">
        <v>5</v>
      </c>
      <c r="C148" s="16" t="s">
        <v>22</v>
      </c>
      <c r="D148" s="16" t="s">
        <v>11</v>
      </c>
      <c r="E148" s="17" t="n">
        <v>57.797</v>
      </c>
    </row>
    <row r="149" customFormat="false" ht="15" hidden="false" customHeight="false" outlineLevel="0" collapsed="false">
      <c r="A149" s="16" t="s">
        <v>3</v>
      </c>
      <c r="B149" s="16" t="s">
        <v>5</v>
      </c>
      <c r="C149" s="16" t="s">
        <v>23</v>
      </c>
      <c r="D149" s="16" t="s">
        <v>8</v>
      </c>
      <c r="E149" s="17" t="n">
        <v>3.706</v>
      </c>
    </row>
    <row r="150" customFormat="false" ht="15" hidden="false" customHeight="false" outlineLevel="0" collapsed="false">
      <c r="A150" s="16" t="s">
        <v>3</v>
      </c>
      <c r="B150" s="16" t="s">
        <v>5</v>
      </c>
      <c r="C150" s="16" t="s">
        <v>23</v>
      </c>
      <c r="D150" s="16" t="s">
        <v>9</v>
      </c>
      <c r="E150" s="17" t="n">
        <v>3.634</v>
      </c>
    </row>
    <row r="151" customFormat="false" ht="15" hidden="false" customHeight="false" outlineLevel="0" collapsed="false">
      <c r="A151" s="16" t="s">
        <v>3</v>
      </c>
      <c r="B151" s="16" t="s">
        <v>5</v>
      </c>
      <c r="C151" s="16" t="s">
        <v>23</v>
      </c>
      <c r="D151" s="16" t="s">
        <v>10</v>
      </c>
      <c r="E151" s="17" t="n">
        <v>3.248</v>
      </c>
    </row>
    <row r="152" customFormat="false" ht="15" hidden="false" customHeight="false" outlineLevel="0" collapsed="false">
      <c r="A152" s="16" t="s">
        <v>3</v>
      </c>
      <c r="B152" s="16" t="s">
        <v>5</v>
      </c>
      <c r="C152" s="16" t="s">
        <v>23</v>
      </c>
      <c r="D152" s="16" t="s">
        <v>11</v>
      </c>
      <c r="E152" s="17" t="n">
        <v>3.452</v>
      </c>
    </row>
    <row r="153" customFormat="false" ht="15" hidden="false" customHeight="false" outlineLevel="0" collapsed="false">
      <c r="A153" s="16" t="s">
        <v>3</v>
      </c>
      <c r="B153" s="16" t="s">
        <v>5</v>
      </c>
      <c r="C153" s="16" t="s">
        <v>24</v>
      </c>
      <c r="D153" s="16" t="s">
        <v>8</v>
      </c>
      <c r="E153" s="17" t="n">
        <v>19.156</v>
      </c>
    </row>
    <row r="154" customFormat="false" ht="15" hidden="false" customHeight="false" outlineLevel="0" collapsed="false">
      <c r="A154" s="16" t="s">
        <v>3</v>
      </c>
      <c r="B154" s="16" t="s">
        <v>5</v>
      </c>
      <c r="C154" s="16" t="s">
        <v>24</v>
      </c>
      <c r="D154" s="16" t="s">
        <v>9</v>
      </c>
      <c r="E154" s="17" t="n">
        <v>19.346</v>
      </c>
    </row>
    <row r="155" customFormat="false" ht="15" hidden="false" customHeight="false" outlineLevel="0" collapsed="false">
      <c r="A155" s="16" t="s">
        <v>3</v>
      </c>
      <c r="B155" s="16" t="s">
        <v>5</v>
      </c>
      <c r="C155" s="16" t="s">
        <v>24</v>
      </c>
      <c r="D155" s="16" t="s">
        <v>10</v>
      </c>
      <c r="E155" s="17" t="n">
        <v>16.666</v>
      </c>
    </row>
    <row r="156" customFormat="false" ht="15" hidden="false" customHeight="false" outlineLevel="0" collapsed="false">
      <c r="A156" s="16" t="s">
        <v>3</v>
      </c>
      <c r="B156" s="16" t="s">
        <v>5</v>
      </c>
      <c r="C156" s="16" t="s">
        <v>24</v>
      </c>
      <c r="D156" s="16" t="s">
        <v>11</v>
      </c>
      <c r="E156" s="17" t="n">
        <v>16.618</v>
      </c>
    </row>
    <row r="157" customFormat="false" ht="15" hidden="false" customHeight="false" outlineLevel="0" collapsed="false">
      <c r="A157" s="16" t="s">
        <v>3</v>
      </c>
      <c r="B157" s="16" t="s">
        <v>5</v>
      </c>
      <c r="C157" s="16" t="s">
        <v>25</v>
      </c>
      <c r="D157" s="16" t="s">
        <v>8</v>
      </c>
      <c r="E157" s="17" t="n">
        <v>13.12</v>
      </c>
    </row>
    <row r="158" customFormat="false" ht="15" hidden="false" customHeight="false" outlineLevel="0" collapsed="false">
      <c r="A158" s="16" t="s">
        <v>3</v>
      </c>
      <c r="B158" s="16" t="s">
        <v>5</v>
      </c>
      <c r="C158" s="16" t="s">
        <v>25</v>
      </c>
      <c r="D158" s="16" t="s">
        <v>9</v>
      </c>
      <c r="E158" s="17" t="n">
        <v>13.097</v>
      </c>
    </row>
    <row r="159" customFormat="false" ht="15" hidden="false" customHeight="false" outlineLevel="0" collapsed="false">
      <c r="A159" s="16" t="s">
        <v>3</v>
      </c>
      <c r="B159" s="16" t="s">
        <v>5</v>
      </c>
      <c r="C159" s="16" t="s">
        <v>25</v>
      </c>
      <c r="D159" s="16" t="s">
        <v>10</v>
      </c>
      <c r="E159" s="17" t="n">
        <v>12.245</v>
      </c>
    </row>
    <row r="160" customFormat="false" ht="15" hidden="false" customHeight="false" outlineLevel="0" collapsed="false">
      <c r="A160" s="16" t="s">
        <v>3</v>
      </c>
      <c r="B160" s="16" t="s">
        <v>5</v>
      </c>
      <c r="C160" s="16" t="s">
        <v>25</v>
      </c>
      <c r="D160" s="16" t="s">
        <v>11</v>
      </c>
      <c r="E160" s="17" t="n">
        <v>11.848</v>
      </c>
    </row>
    <row r="161" customFormat="false" ht="15" hidden="false" customHeight="false" outlineLevel="0" collapsed="false">
      <c r="A161" s="16" t="s">
        <v>3</v>
      </c>
      <c r="B161" s="16" t="s">
        <v>5</v>
      </c>
      <c r="C161" s="16" t="s">
        <v>26</v>
      </c>
      <c r="D161" s="16" t="s">
        <v>8</v>
      </c>
      <c r="E161" s="17" t="n">
        <v>10.676</v>
      </c>
    </row>
    <row r="162" customFormat="false" ht="15" hidden="false" customHeight="false" outlineLevel="0" collapsed="false">
      <c r="A162" s="16" t="s">
        <v>3</v>
      </c>
      <c r="B162" s="16" t="s">
        <v>5</v>
      </c>
      <c r="C162" s="16" t="s">
        <v>26</v>
      </c>
      <c r="D162" s="16" t="s">
        <v>9</v>
      </c>
      <c r="E162" s="17" t="n">
        <v>10.189</v>
      </c>
    </row>
    <row r="163" customFormat="false" ht="15" hidden="false" customHeight="false" outlineLevel="0" collapsed="false">
      <c r="A163" s="16" t="s">
        <v>3</v>
      </c>
      <c r="B163" s="16" t="s">
        <v>5</v>
      </c>
      <c r="C163" s="16" t="s">
        <v>26</v>
      </c>
      <c r="D163" s="16" t="s">
        <v>10</v>
      </c>
      <c r="E163" s="17" t="n">
        <v>11.409</v>
      </c>
    </row>
    <row r="164" customFormat="false" ht="15" hidden="false" customHeight="false" outlineLevel="0" collapsed="false">
      <c r="A164" s="16" t="s">
        <v>3</v>
      </c>
      <c r="B164" s="16" t="s">
        <v>5</v>
      </c>
      <c r="C164" s="16" t="s">
        <v>26</v>
      </c>
      <c r="D164" s="16" t="s">
        <v>11</v>
      </c>
      <c r="E164" s="17" t="n">
        <v>9.703</v>
      </c>
    </row>
    <row r="165" customFormat="false" ht="15" hidden="false" customHeight="false" outlineLevel="0" collapsed="false">
      <c r="A165" s="16" t="s">
        <v>3</v>
      </c>
      <c r="B165" s="16" t="s">
        <v>5</v>
      </c>
      <c r="C165" s="16" t="s">
        <v>27</v>
      </c>
      <c r="D165" s="16" t="s">
        <v>8</v>
      </c>
      <c r="E165" s="17" t="n">
        <v>107.543</v>
      </c>
    </row>
    <row r="166" customFormat="false" ht="15" hidden="false" customHeight="false" outlineLevel="0" collapsed="false">
      <c r="A166" s="16" t="s">
        <v>3</v>
      </c>
      <c r="B166" s="16" t="s">
        <v>5</v>
      </c>
      <c r="C166" s="16" t="s">
        <v>27</v>
      </c>
      <c r="D166" s="16" t="s">
        <v>9</v>
      </c>
      <c r="E166" s="17" t="n">
        <v>107.354</v>
      </c>
    </row>
    <row r="167" customFormat="false" ht="15" hidden="false" customHeight="false" outlineLevel="0" collapsed="false">
      <c r="A167" s="16" t="s">
        <v>3</v>
      </c>
      <c r="B167" s="16" t="s">
        <v>5</v>
      </c>
      <c r="C167" s="16" t="s">
        <v>27</v>
      </c>
      <c r="D167" s="16" t="s">
        <v>10</v>
      </c>
      <c r="E167" s="17" t="n">
        <v>106.251</v>
      </c>
    </row>
    <row r="168" customFormat="false" ht="15" hidden="false" customHeight="false" outlineLevel="0" collapsed="false">
      <c r="A168" s="16" t="s">
        <v>3</v>
      </c>
      <c r="B168" s="16" t="s">
        <v>5</v>
      </c>
      <c r="C168" s="16" t="s">
        <v>27</v>
      </c>
      <c r="D168" s="16" t="s">
        <v>11</v>
      </c>
      <c r="E168" s="17" t="n">
        <v>99.445</v>
      </c>
    </row>
    <row r="169" customFormat="false" ht="15" hidden="false" customHeight="false" outlineLevel="0" collapsed="false">
      <c r="A169" s="16" t="s">
        <v>3</v>
      </c>
      <c r="B169" s="16" t="s">
        <v>5</v>
      </c>
      <c r="C169" s="16" t="s">
        <v>28</v>
      </c>
      <c r="D169" s="16" t="s">
        <v>8</v>
      </c>
      <c r="E169" s="17" t="n">
        <v>2.641</v>
      </c>
    </row>
    <row r="170" customFormat="false" ht="15" hidden="false" customHeight="false" outlineLevel="0" collapsed="false">
      <c r="A170" s="16" t="s">
        <v>3</v>
      </c>
      <c r="B170" s="16" t="s">
        <v>5</v>
      </c>
      <c r="C170" s="16" t="s">
        <v>28</v>
      </c>
      <c r="D170" s="16" t="s">
        <v>9</v>
      </c>
      <c r="E170" s="17" t="n">
        <v>2.135</v>
      </c>
    </row>
    <row r="171" customFormat="false" ht="15" hidden="false" customHeight="false" outlineLevel="0" collapsed="false">
      <c r="A171" s="16" t="s">
        <v>3</v>
      </c>
      <c r="B171" s="16" t="s">
        <v>5</v>
      </c>
      <c r="C171" s="16" t="s">
        <v>28</v>
      </c>
      <c r="D171" s="16" t="s">
        <v>10</v>
      </c>
      <c r="E171" s="17" t="n">
        <v>8.042</v>
      </c>
    </row>
    <row r="172" customFormat="false" ht="15" hidden="false" customHeight="false" outlineLevel="0" collapsed="false">
      <c r="A172" s="16" t="s">
        <v>3</v>
      </c>
      <c r="B172" s="16" t="s">
        <v>5</v>
      </c>
      <c r="C172" s="16" t="s">
        <v>28</v>
      </c>
      <c r="D172" s="16" t="s">
        <v>11</v>
      </c>
      <c r="E172" s="17" t="n">
        <v>9.361</v>
      </c>
    </row>
  </sheetData>
  <autoFilter ref="A4:E1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8" width="22"/>
    <col collapsed="false" customWidth="true" hidden="false" outlineLevel="0" max="3" min="2" style="18" width="12"/>
    <col collapsed="false" customWidth="true" hidden="false" outlineLevel="0" max="4" min="4" style="18" width="13"/>
    <col collapsed="false" customWidth="true" hidden="false" outlineLevel="0" max="6" min="5" style="18" width="9"/>
    <col collapsed="false" customWidth="true" hidden="false" outlineLevel="0" max="7" min="7" style="18" width="10"/>
    <col collapsed="false" customWidth="true" hidden="false" outlineLevel="0" max="8" min="8" style="18" width="95"/>
  </cols>
  <sheetData>
    <row r="1" customFormat="false" ht="17.25" hidden="false" customHeight="true" outlineLevel="0" collapsed="false">
      <c r="A1" s="19" t="s">
        <v>77</v>
      </c>
    </row>
    <row r="2" customFormat="false" ht="15" hidden="false" customHeight="true" outlineLevel="0" collapsed="false">
      <c r="A2" s="20" t="s">
        <v>78</v>
      </c>
    </row>
    <row r="4" customFormat="false" ht="27.75" hidden="false" customHeight="true" outlineLevel="0" collapsed="false">
      <c r="A4" s="21" t="s">
        <v>62</v>
      </c>
      <c r="B4" s="21" t="s">
        <v>79</v>
      </c>
      <c r="C4" s="21" t="s">
        <v>80</v>
      </c>
      <c r="D4" s="21" t="s">
        <v>81</v>
      </c>
      <c r="E4" s="21" t="s">
        <v>82</v>
      </c>
      <c r="F4" s="21" t="s">
        <v>83</v>
      </c>
      <c r="G4" s="21" t="s">
        <v>84</v>
      </c>
      <c r="H4" s="21" t="s">
        <v>85</v>
      </c>
    </row>
    <row r="5" customFormat="false" ht="30" hidden="false" customHeight="true" outlineLevel="0" collapsed="false">
      <c r="A5" s="22" t="s">
        <v>86</v>
      </c>
      <c r="B5" s="23" t="n">
        <v>109.7</v>
      </c>
      <c r="C5" s="24" t="n">
        <f aca="false">B5</f>
        <v>109.7</v>
      </c>
      <c r="D5" s="24" t="n">
        <v>0</v>
      </c>
      <c r="E5" s="24" t="n">
        <v>0</v>
      </c>
      <c r="F5" s="24" t="n">
        <v>0</v>
      </c>
      <c r="G5" s="24" t="n">
        <f aca="false">B5</f>
        <v>109.7</v>
      </c>
      <c r="H5" s="25" t="s">
        <v>87</v>
      </c>
    </row>
    <row r="6" customFormat="false" ht="30" hidden="false" customHeight="true" outlineLevel="0" collapsed="false">
      <c r="A6" s="26" t="s">
        <v>88</v>
      </c>
      <c r="B6" s="27" t="n">
        <v>2.75</v>
      </c>
      <c r="C6" s="28" t="n">
        <f aca="false">C5+B6</f>
        <v>112.45</v>
      </c>
      <c r="D6" s="28" t="n">
        <f aca="false">MIN(C5,C6)</f>
        <v>109.7</v>
      </c>
      <c r="E6" s="28" t="n">
        <f aca="false">IF(B6&gt;0,B6,0)</f>
        <v>2.75</v>
      </c>
      <c r="F6" s="28" t="n">
        <f aca="false">IF(B6&lt;0,-B6,0)</f>
        <v>0</v>
      </c>
      <c r="G6" s="28" t="n">
        <v>0</v>
      </c>
      <c r="H6" s="29" t="s">
        <v>89</v>
      </c>
    </row>
    <row r="7" customFormat="false" ht="30" hidden="false" customHeight="true" outlineLevel="0" collapsed="false">
      <c r="A7" s="26" t="s">
        <v>90</v>
      </c>
      <c r="B7" s="27" t="n">
        <v>1.27</v>
      </c>
      <c r="C7" s="28" t="n">
        <f aca="false">C6+B7</f>
        <v>113.72</v>
      </c>
      <c r="D7" s="28" t="n">
        <f aca="false">MIN(C6,C7)</f>
        <v>112.45</v>
      </c>
      <c r="E7" s="28" t="n">
        <f aca="false">IF(B7&gt;0,B7,0)</f>
        <v>1.27</v>
      </c>
      <c r="F7" s="28" t="n">
        <f aca="false">IF(B7&lt;0,-B7,0)</f>
        <v>0</v>
      </c>
      <c r="G7" s="28" t="n">
        <v>0</v>
      </c>
      <c r="H7" s="29" t="s">
        <v>91</v>
      </c>
    </row>
    <row r="8" customFormat="false" ht="30" hidden="false" customHeight="true" outlineLevel="0" collapsed="false">
      <c r="A8" s="26" t="s">
        <v>92</v>
      </c>
      <c r="B8" s="27" t="n">
        <v>-1.25</v>
      </c>
      <c r="C8" s="28" t="n">
        <f aca="false">C7+B8</f>
        <v>112.47</v>
      </c>
      <c r="D8" s="28" t="n">
        <f aca="false">MIN(C7,C8)</f>
        <v>112.47</v>
      </c>
      <c r="E8" s="28" t="n">
        <f aca="false">IF(B8&gt;0,B8,0)</f>
        <v>0</v>
      </c>
      <c r="F8" s="28" t="n">
        <f aca="false">IF(B8&lt;0,-B8,0)</f>
        <v>1.25</v>
      </c>
      <c r="G8" s="28" t="n">
        <v>0</v>
      </c>
      <c r="H8" s="29" t="s">
        <v>93</v>
      </c>
    </row>
    <row r="9" customFormat="false" ht="30" hidden="false" customHeight="true" outlineLevel="0" collapsed="false">
      <c r="A9" s="26" t="s">
        <v>94</v>
      </c>
      <c r="B9" s="27" t="n">
        <v>-0.43</v>
      </c>
      <c r="C9" s="28" t="n">
        <f aca="false">C8+B9</f>
        <v>112.04</v>
      </c>
      <c r="D9" s="28" t="n">
        <f aca="false">MIN(C8,C9)</f>
        <v>112.04</v>
      </c>
      <c r="E9" s="28" t="n">
        <f aca="false">IF(B9&gt;0,B9,0)</f>
        <v>0</v>
      </c>
      <c r="F9" s="28" t="n">
        <f aca="false">IF(B9&lt;0,-B9,0)</f>
        <v>0.43</v>
      </c>
      <c r="G9" s="28" t="n">
        <v>0</v>
      </c>
      <c r="H9" s="29" t="s">
        <v>95</v>
      </c>
    </row>
    <row r="10" customFormat="false" ht="30" hidden="false" customHeight="true" outlineLevel="0" collapsed="false">
      <c r="A10" s="26" t="s">
        <v>96</v>
      </c>
      <c r="B10" s="27" t="n">
        <v>1.34</v>
      </c>
      <c r="C10" s="28" t="n">
        <f aca="false">C9+B10</f>
        <v>113.38</v>
      </c>
      <c r="D10" s="28" t="n">
        <f aca="false">MIN(C9,C10)</f>
        <v>112.04</v>
      </c>
      <c r="E10" s="28" t="n">
        <f aca="false">IF(B10&gt;0,B10,0)</f>
        <v>1.34</v>
      </c>
      <c r="F10" s="28" t="n">
        <f aca="false">IF(B10&lt;0,-B10,0)</f>
        <v>0</v>
      </c>
      <c r="G10" s="28" t="n">
        <v>0</v>
      </c>
      <c r="H10" s="29" t="s">
        <v>97</v>
      </c>
    </row>
    <row r="11" customFormat="false" ht="30" hidden="false" customHeight="true" outlineLevel="0" collapsed="false">
      <c r="A11" s="26" t="s">
        <v>98</v>
      </c>
      <c r="B11" s="27" t="n">
        <v>-0.18</v>
      </c>
      <c r="C11" s="28" t="n">
        <f aca="false">C10+B11</f>
        <v>113.2</v>
      </c>
      <c r="D11" s="28" t="n">
        <f aca="false">MIN(C10,C11)</f>
        <v>113.2</v>
      </c>
      <c r="E11" s="28" t="n">
        <f aca="false">IF(B11&gt;0,B11,0)</f>
        <v>0</v>
      </c>
      <c r="F11" s="28" t="n">
        <f aca="false">IF(B11&lt;0,-B11,0)</f>
        <v>0.18</v>
      </c>
      <c r="G11" s="28" t="n">
        <v>0</v>
      </c>
      <c r="H11" s="29" t="s">
        <v>99</v>
      </c>
    </row>
    <row r="12" customFormat="false" ht="30" hidden="false" customHeight="true" outlineLevel="0" collapsed="false">
      <c r="A12" s="26" t="s">
        <v>100</v>
      </c>
      <c r="B12" s="27" t="n">
        <v>1.51</v>
      </c>
      <c r="C12" s="28" t="n">
        <f aca="false">C11+B12</f>
        <v>114.71</v>
      </c>
      <c r="D12" s="28" t="n">
        <f aca="false">MIN(C11,C12)</f>
        <v>113.2</v>
      </c>
      <c r="E12" s="28" t="n">
        <f aca="false">IF(B12&gt;0,B12,0)</f>
        <v>1.51</v>
      </c>
      <c r="F12" s="28" t="n">
        <f aca="false">IF(B12&lt;0,-B12,0)</f>
        <v>0</v>
      </c>
      <c r="G12" s="28" t="n">
        <v>0</v>
      </c>
      <c r="H12" s="29" t="s">
        <v>101</v>
      </c>
    </row>
    <row r="13" customFormat="false" ht="30" hidden="false" customHeight="true" outlineLevel="0" collapsed="false">
      <c r="A13" s="26" t="s">
        <v>102</v>
      </c>
      <c r="B13" s="27" t="n">
        <v>0.35</v>
      </c>
      <c r="C13" s="28" t="n">
        <f aca="false">C12+B13</f>
        <v>115.06</v>
      </c>
      <c r="D13" s="28" t="n">
        <f aca="false">MIN(C12,C13)</f>
        <v>114.71</v>
      </c>
      <c r="E13" s="28" t="n">
        <f aca="false">IF(B13&gt;0,B13,0)</f>
        <v>0.35</v>
      </c>
      <c r="F13" s="28" t="n">
        <f aca="false">IF(B13&lt;0,-B13,0)</f>
        <v>0</v>
      </c>
      <c r="G13" s="28" t="n">
        <v>0</v>
      </c>
      <c r="H13" s="29" t="s">
        <v>103</v>
      </c>
    </row>
    <row r="14" customFormat="false" ht="30" hidden="false" customHeight="true" outlineLevel="0" collapsed="false">
      <c r="A14" s="26" t="s">
        <v>21</v>
      </c>
      <c r="B14" s="27" t="n">
        <v>-0.42</v>
      </c>
      <c r="C14" s="28" t="n">
        <f aca="false">C13+B14</f>
        <v>114.64</v>
      </c>
      <c r="D14" s="28" t="n">
        <f aca="false">MIN(C13,C14)</f>
        <v>114.64</v>
      </c>
      <c r="E14" s="28" t="n">
        <f aca="false">IF(B14&gt;0,B14,0)</f>
        <v>0</v>
      </c>
      <c r="F14" s="28" t="n">
        <f aca="false">IF(B14&lt;0,-B14,0)</f>
        <v>0.42</v>
      </c>
      <c r="G14" s="28" t="n">
        <v>0</v>
      </c>
      <c r="H14" s="29" t="s">
        <v>104</v>
      </c>
    </row>
    <row r="15" customFormat="false" ht="30" hidden="false" customHeight="true" outlineLevel="0" collapsed="false">
      <c r="A15" s="26" t="s">
        <v>105</v>
      </c>
      <c r="B15" s="27" t="n">
        <v>-0.57</v>
      </c>
      <c r="C15" s="28" t="n">
        <f aca="false">C14+B15</f>
        <v>114.07</v>
      </c>
      <c r="D15" s="28" t="n">
        <f aca="false">MIN(C14,C15)</f>
        <v>114.07</v>
      </c>
      <c r="E15" s="28" t="n">
        <f aca="false">IF(B15&gt;0,B15,0)</f>
        <v>0</v>
      </c>
      <c r="F15" s="28" t="n">
        <f aca="false">IF(B15&lt;0,-B15,0)</f>
        <v>0.57</v>
      </c>
      <c r="G15" s="28" t="n">
        <v>0</v>
      </c>
      <c r="H15" s="29" t="s">
        <v>106</v>
      </c>
    </row>
    <row r="16" customFormat="false" ht="30" hidden="false" customHeight="true" outlineLevel="0" collapsed="false">
      <c r="A16" s="26" t="s">
        <v>107</v>
      </c>
      <c r="B16" s="27" t="n">
        <v>-0.01</v>
      </c>
      <c r="C16" s="28" t="n">
        <f aca="false">C15+B16</f>
        <v>114.06</v>
      </c>
      <c r="D16" s="28" t="n">
        <f aca="false">MIN(C15,C16)</f>
        <v>114.06</v>
      </c>
      <c r="E16" s="28" t="n">
        <f aca="false">IF(B16&gt;0,B16,0)</f>
        <v>0</v>
      </c>
      <c r="F16" s="28" t="n">
        <f aca="false">IF(B16&lt;0,-B16,0)</f>
        <v>0.01</v>
      </c>
      <c r="G16" s="28" t="n">
        <v>0</v>
      </c>
      <c r="H16" s="29" t="s">
        <v>108</v>
      </c>
    </row>
    <row r="17" customFormat="false" ht="30" hidden="false" customHeight="true" outlineLevel="0" collapsed="false">
      <c r="A17" s="26" t="s">
        <v>109</v>
      </c>
      <c r="B17" s="27" t="n">
        <v>1.19</v>
      </c>
      <c r="C17" s="28" t="n">
        <f aca="false">C16+B17</f>
        <v>115.25</v>
      </c>
      <c r="D17" s="28" t="n">
        <f aca="false">MIN(C16,C17)</f>
        <v>114.06</v>
      </c>
      <c r="E17" s="28" t="n">
        <f aca="false">IF(B17&gt;0,B17,0)</f>
        <v>1.19</v>
      </c>
      <c r="F17" s="28" t="n">
        <f aca="false">IF(B17&lt;0,-B17,0)</f>
        <v>0</v>
      </c>
      <c r="G17" s="28" t="n">
        <v>0</v>
      </c>
      <c r="H17" s="29" t="s">
        <v>110</v>
      </c>
    </row>
    <row r="18" customFormat="false" ht="30" hidden="false" customHeight="true" outlineLevel="0" collapsed="false">
      <c r="A18" s="22" t="s">
        <v>111</v>
      </c>
      <c r="B18" s="24" t="n">
        <f aca="false">SUM(B5:B17)</f>
        <v>115.25</v>
      </c>
      <c r="C18" s="24" t="n">
        <f aca="false">B18</f>
        <v>115.25</v>
      </c>
      <c r="D18" s="24" t="n">
        <v>0</v>
      </c>
      <c r="E18" s="24" t="n">
        <v>0</v>
      </c>
      <c r="F18" s="24" t="n">
        <v>0</v>
      </c>
      <c r="G18" s="24" t="n">
        <f aca="false">B18</f>
        <v>115.25</v>
      </c>
      <c r="H18" s="25" t="s">
        <v>112</v>
      </c>
    </row>
    <row r="20" customFormat="false" ht="15" hidden="false" customHeight="true" outlineLevel="0" collapsed="false">
      <c r="A20" s="30" t="s">
        <v>113</v>
      </c>
      <c r="B20" s="31" t="n">
        <v>115.25</v>
      </c>
      <c r="C20" s="20" t="s">
        <v>114</v>
      </c>
    </row>
    <row r="21" customFormat="false" ht="15" hidden="false" customHeight="true" outlineLevel="0" collapsed="false">
      <c r="A21" s="30" t="s">
        <v>115</v>
      </c>
      <c r="B21" s="32" t="n">
        <f aca="false">B18-B20</f>
        <v>0</v>
      </c>
    </row>
    <row r="23" customFormat="false" ht="15" hidden="false" customHeight="true" outlineLevel="0" collapsed="false">
      <c r="A23" s="30" t="s">
        <v>116</v>
      </c>
    </row>
    <row r="24" customFormat="false" ht="15" hidden="false" customHeight="true" outlineLevel="0" collapsed="false">
      <c r="A24" s="33" t="s">
        <v>117</v>
      </c>
    </row>
    <row r="25" customFormat="false" ht="15" hidden="false" customHeight="true" outlineLevel="0" collapsed="false">
      <c r="A25" s="3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8" width="34"/>
    <col collapsed="false" customWidth="true" hidden="false" outlineLevel="0" max="2" min="2" style="18" width="14"/>
  </cols>
  <sheetData>
    <row r="1" customFormat="false" ht="17.25" hidden="false" customHeight="true" outlineLevel="0" collapsed="false">
      <c r="A1" s="19" t="s">
        <v>119</v>
      </c>
    </row>
    <row r="3" customFormat="false" ht="15" hidden="false" customHeight="true" outlineLevel="0" collapsed="false">
      <c r="A3" s="34" t="s">
        <v>120</v>
      </c>
      <c r="B3" s="34" t="s">
        <v>79</v>
      </c>
    </row>
    <row r="4" customFormat="false" ht="15" hidden="false" customHeight="true" outlineLevel="0" collapsed="false">
      <c r="A4" s="35" t="s">
        <v>88</v>
      </c>
      <c r="B4" s="31" t="n">
        <v>2.75</v>
      </c>
    </row>
    <row r="5" customFormat="false" ht="15" hidden="false" customHeight="true" outlineLevel="0" collapsed="false">
      <c r="A5" s="35" t="s">
        <v>121</v>
      </c>
      <c r="B5" s="31" t="n">
        <v>1.27</v>
      </c>
    </row>
    <row r="6" customFormat="false" ht="15" hidden="false" customHeight="true" outlineLevel="0" collapsed="false">
      <c r="A6" s="35" t="s">
        <v>122</v>
      </c>
      <c r="B6" s="31" t="n">
        <v>-1.25</v>
      </c>
    </row>
    <row r="7" customFormat="false" ht="15" hidden="false" customHeight="true" outlineLevel="0" collapsed="false">
      <c r="A7" s="35" t="s">
        <v>94</v>
      </c>
      <c r="B7" s="31" t="n">
        <v>-0.43</v>
      </c>
    </row>
    <row r="8" customFormat="false" ht="15" hidden="false" customHeight="true" outlineLevel="0" collapsed="false">
      <c r="A8" s="35" t="s">
        <v>16</v>
      </c>
      <c r="B8" s="31" t="n">
        <v>2.16</v>
      </c>
    </row>
    <row r="9" customFormat="false" ht="15" hidden="false" customHeight="true" outlineLevel="0" collapsed="false">
      <c r="A9" s="35" t="s">
        <v>123</v>
      </c>
      <c r="B9" s="31" t="n">
        <v>-0.82</v>
      </c>
    </row>
    <row r="10" customFormat="false" ht="15" hidden="false" customHeight="true" outlineLevel="0" collapsed="false">
      <c r="A10" s="35" t="s">
        <v>124</v>
      </c>
      <c r="B10" s="31" t="n">
        <v>-0.18</v>
      </c>
    </row>
    <row r="11" customFormat="false" ht="15" hidden="false" customHeight="true" outlineLevel="0" collapsed="false">
      <c r="A11" s="35" t="s">
        <v>125</v>
      </c>
      <c r="B11" s="31" t="n">
        <v>1.51</v>
      </c>
    </row>
    <row r="12" customFormat="false" ht="15" hidden="false" customHeight="true" outlineLevel="0" collapsed="false">
      <c r="A12" s="35" t="s">
        <v>126</v>
      </c>
      <c r="B12" s="31" t="n">
        <v>0.35</v>
      </c>
    </row>
    <row r="13" customFormat="false" ht="15" hidden="false" customHeight="true" outlineLevel="0" collapsed="false">
      <c r="A13" s="35" t="s">
        <v>21</v>
      </c>
      <c r="B13" s="31" t="n">
        <v>-0.42</v>
      </c>
    </row>
    <row r="14" customFormat="false" ht="15" hidden="false" customHeight="true" outlineLevel="0" collapsed="false">
      <c r="A14" s="35" t="s">
        <v>105</v>
      </c>
      <c r="B14" s="31" t="n">
        <v>-0.57</v>
      </c>
    </row>
    <row r="15" customFormat="false" ht="15" hidden="false" customHeight="true" outlineLevel="0" collapsed="false">
      <c r="A15" s="35" t="s">
        <v>127</v>
      </c>
      <c r="B15" s="31" t="n">
        <v>-0.01</v>
      </c>
    </row>
    <row r="16" customFormat="false" ht="15" hidden="false" customHeight="true" outlineLevel="0" collapsed="false">
      <c r="A16" s="35" t="s">
        <v>109</v>
      </c>
      <c r="B16" s="31" t="n">
        <v>1.19</v>
      </c>
    </row>
    <row r="17" customFormat="false" ht="15" hidden="false" customHeight="true" outlineLevel="0" collapsed="false">
      <c r="A17" s="30" t="s">
        <v>75</v>
      </c>
      <c r="B17" s="36" t="n">
        <f aca="false">SUM(B4:B16)</f>
        <v>5.55</v>
      </c>
    </row>
    <row r="18" customFormat="false" ht="15" hidden="false" customHeight="true" outlineLevel="0" collapsed="false">
      <c r="A18" s="2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2026-10-02T09:58:34Z</dcterms:created>
  <dc:creator>openpyxl</dc:creator>
  <dc:description/>
  <dc:language>en-US</dc:language>
  <cp:lastModifiedBy/>
  <dcterms:modified xsi:type="dcterms:W3CDTF">2026-10-23T13:36:00Z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